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ue" sheetId="1" state="visible" r:id="rId3"/>
  </sheets>
  <externalReferences>
    <externalReference r:id="rId4"/>
  </externalReferences>
  <definedNames>
    <definedName function="false" hidden="false" localSheetId="0" name="_xlnm.Print_Area" vbProcedure="false">Catalogue!$A$1:$N$65</definedName>
    <definedName function="false" hidden="false" localSheetId="0" name="_xlnm.Print_Titles" vbProcedure="false">Catalogue!$1:$1</definedName>
    <definedName function="false" hidden="false" name="Excel_BuiltIn_Database" vbProcedure="false">'[1]#REF'!$B$5:$N$65</definedName>
    <definedName function="false" hidden="false" name="Mélodies" vbProcedure="false">'[1]'!$b$5:$n$65</definedName>
    <definedName function="false" hidden="false" localSheetId="0" name="Excel_BuiltIn__FilterDatabase" vbProcedure="false">Catalogue!$A$1:$O$65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<sst xmlns="http://schemas.openxmlformats.org/spreadsheetml/2006/main" count="884" uniqueCount="271">
  <si>
    <t xml:space="preserve">n°   opus</t>
  </si>
  <si>
    <t xml:space="preserve">titre</t>
  </si>
  <si>
    <t xml:space="preserve">nb de pages</t>
  </si>
  <si>
    <t xml:space="preserve">Genre</t>
  </si>
  <si>
    <t xml:space="preserve">Instruments</t>
  </si>
  <si>
    <t xml:space="preserve">piano 1 voix</t>
  </si>
  <si>
    <t xml:space="preserve">durée en mn</t>
  </si>
  <si>
    <t xml:space="preserve">  Poème de</t>
  </si>
  <si>
    <t xml:space="preserve">Editeur</t>
  </si>
  <si>
    <t xml:space="preserve">Réf. SACEM</t>
  </si>
  <si>
    <t xml:space="preserve">Observations</t>
  </si>
  <si>
    <t xml:space="preserve">note max</t>
  </si>
  <si>
    <t xml:space="preserve">Doc</t>
  </si>
  <si>
    <t xml:space="preserve">dispon</t>
  </si>
  <si>
    <t xml:space="preserve">Ajouter le manuscrit sur le site</t>
  </si>
  <si>
    <t xml:space="preserve">Manuscrit illisible</t>
  </si>
  <si>
    <t xml:space="preserve">Refaire gravure</t>
  </si>
  <si>
    <t xml:space="preserve">Ajouter Gravure Olivier</t>
  </si>
  <si>
    <t xml:space="preserve">La cascade</t>
  </si>
  <si>
    <t xml:space="preserve">Mélodie</t>
  </si>
  <si>
    <t xml:space="preserve">piano soprano</t>
  </si>
  <si>
    <t xml:space="preserve">Georges Audigier</t>
  </si>
  <si>
    <t xml:space="preserve">Hamelle</t>
  </si>
  <si>
    <t xml:space="preserve">écriture très jeune</t>
  </si>
  <si>
    <t xml:space="preserve">fa#</t>
  </si>
  <si>
    <t xml:space="preserve">J. Hamelle</t>
  </si>
  <si>
    <t xml:space="preserve">M+E</t>
  </si>
  <si>
    <t xml:space="preserve">E</t>
  </si>
  <si>
    <t xml:space="preserve">M</t>
  </si>
  <si>
    <t xml:space="preserve">Chanson aux éternels murmures   </t>
  </si>
  <si>
    <t xml:space="preserve"> Georges Audigier</t>
  </si>
  <si>
    <t xml:space="preserve">(non)</t>
  </si>
  <si>
    <t xml:space="preserve">fa</t>
  </si>
  <si>
    <t xml:space="preserve">3M+G</t>
  </si>
  <si>
    <t xml:space="preserve">G</t>
  </si>
  <si>
    <t xml:space="preserve">En regardant passer la vie</t>
  </si>
  <si>
    <t xml:space="preserve">Mélodie Musique chmabre</t>
  </si>
  <si>
    <t xml:space="preserve">Quatuor,flute,voix</t>
  </si>
  <si>
    <t xml:space="preserve">flûte, violons,violoncelle,alto</t>
  </si>
  <si>
    <t xml:space="preserve">M+G</t>
  </si>
  <si>
    <t xml:space="preserve">La mouette</t>
  </si>
  <si>
    <t xml:space="preserve">sol</t>
  </si>
  <si>
    <t xml:space="preserve">Janvier</t>
  </si>
  <si>
    <t xml:space="preserve">A mon amie</t>
  </si>
  <si>
    <t xml:space="preserve">@</t>
  </si>
  <si>
    <t xml:space="preserve">manque</t>
  </si>
  <si>
    <t xml:space="preserve">Février</t>
  </si>
  <si>
    <t xml:space="preserve">Lors j'ai révé </t>
  </si>
  <si>
    <t xml:space="preserve">Q p5</t>
  </si>
  <si>
    <t xml:space="preserve">Mars</t>
  </si>
  <si>
    <t xml:space="preserve">Il fait encore bien froid</t>
  </si>
  <si>
    <t xml:space="preserve">Avril</t>
  </si>
  <si>
    <t xml:space="preserve">Je voudrais te donner</t>
  </si>
  <si>
    <t xml:space="preserve">Mai</t>
  </si>
  <si>
    <t xml:space="preserve">(4 voix)</t>
  </si>
  <si>
    <t xml:space="preserve">Fini, déjà fini  (4 voix de soprano)  (février 1928)</t>
  </si>
  <si>
    <t xml:space="preserve">Juin</t>
  </si>
  <si>
    <t xml:space="preserve">Hurstel</t>
  </si>
  <si>
    <t xml:space="preserve">Mon jardin tout entier</t>
  </si>
  <si>
    <t xml:space="preserve">P. Hurstel</t>
  </si>
  <si>
    <t xml:space="preserve">La version manuscrite et la version éditée diffèrent</t>
  </si>
  <si>
    <t xml:space="preserve">11B</t>
  </si>
  <si>
    <t xml:space="preserve">2M</t>
  </si>
  <si>
    <t xml:space="preserve">Juillet</t>
  </si>
  <si>
    <t xml:space="preserve">Chaque flot de la mer</t>
  </si>
  <si>
    <t xml:space="preserve">sol-</t>
  </si>
  <si>
    <t xml:space="preserve">Août</t>
  </si>
  <si>
    <t xml:space="preserve">&lt;1940</t>
  </si>
  <si>
    <t xml:space="preserve">(sans n°)</t>
  </si>
  <si>
    <t xml:space="preserve">Le temps s'étonne lui</t>
  </si>
  <si>
    <t xml:space="preserve">Septembre</t>
  </si>
  <si>
    <t xml:space="preserve">Souvenir m'embaumant </t>
  </si>
  <si>
    <t xml:space="preserve">4M</t>
  </si>
  <si>
    <t xml:space="preserve">Octobre</t>
  </si>
  <si>
    <t xml:space="preserve">Je suis las, mon amour</t>
  </si>
  <si>
    <t xml:space="preserve">Novembre</t>
  </si>
  <si>
    <t xml:space="preserve">Ah! je vieillis  (4 voix de soprano)</t>
  </si>
  <si>
    <t xml:space="preserve">Décembre</t>
  </si>
  <si>
    <t xml:space="preserve">Mon amour est le fils de la tendresse</t>
  </si>
  <si>
    <t xml:space="preserve">la-</t>
  </si>
  <si>
    <t xml:space="preserve">Silence ineffable de l'heure</t>
  </si>
  <si>
    <t xml:space="preserve"> Paul Bourget</t>
  </si>
  <si>
    <t xml:space="preserve">Ce petit air de cloche</t>
  </si>
  <si>
    <t xml:space="preserve">Paul Fort</t>
  </si>
  <si>
    <t xml:space="preserve">fa (fa#)</t>
  </si>
  <si>
    <t xml:space="preserve">2M+G</t>
  </si>
  <si>
    <t xml:space="preserve">Noël</t>
  </si>
  <si>
    <t xml:space="preserve">Théophile Gautier</t>
  </si>
  <si>
    <t xml:space="preserve">4M+G</t>
  </si>
  <si>
    <t xml:space="preserve">4 manuscrits</t>
  </si>
  <si>
    <t xml:space="preserve">MMMM</t>
  </si>
  <si>
    <t xml:space="preserve">Goûte, me dit le soir de juin</t>
  </si>
  <si>
    <t xml:space="preserve">Charles Guérin</t>
  </si>
  <si>
    <t xml:space="preserve">L'abeille qui plongeait </t>
  </si>
  <si>
    <t xml:space="preserve">MM </t>
  </si>
  <si>
    <t xml:space="preserve">Quand au matin je vois</t>
  </si>
  <si>
    <t xml:space="preserve">1 manuscrit corrigé à l'encre rouge par un tiers</t>
  </si>
  <si>
    <t xml:space="preserve">6M+G</t>
  </si>
  <si>
    <t xml:space="preserve">une version annotée en rouge</t>
  </si>
  <si>
    <t xml:space="preserve">MMMMM</t>
  </si>
  <si>
    <t xml:space="preserve">23bis</t>
  </si>
  <si>
    <t xml:space="preserve">Mon amour inégal est plein d'emportements</t>
  </si>
  <si>
    <t xml:space="preserve">Ton image partout</t>
  </si>
  <si>
    <t xml:space="preserve">daté 1926</t>
  </si>
  <si>
    <t xml:space="preserve">24bis</t>
  </si>
  <si>
    <t xml:space="preserve">Je retrouve en rentrant ce soir</t>
  </si>
  <si>
    <t xml:space="preserve">Invocation</t>
  </si>
  <si>
    <t xml:space="preserve">Louis Le  Cardonnel</t>
  </si>
  <si>
    <t xml:space="preserve">Doux et sublime Esprit  des tranquilles matins</t>
  </si>
  <si>
    <t xml:space="preserve">25bis</t>
  </si>
  <si>
    <t xml:space="preserve">version orchestrale</t>
  </si>
  <si>
    <t xml:space="preserve">non</t>
  </si>
  <si>
    <t xml:space="preserve">le même avec 10 instruments</t>
  </si>
  <si>
    <t xml:space="preserve">voir op.62</t>
  </si>
  <si>
    <t xml:space="preserve">2 conducteurs orchestres pas de partie séparées</t>
  </si>
  <si>
    <t xml:space="preserve">Anges</t>
  </si>
  <si>
    <t xml:space="preserve">Envoyés surhumains, </t>
  </si>
  <si>
    <t xml:space="preserve">Prière du soir d'été</t>
  </si>
  <si>
    <t xml:space="preserve">Orchestre soprano</t>
  </si>
  <si>
    <t xml:space="preserve">Le soir qui remplaça ... (avec 10 instruments)</t>
  </si>
  <si>
    <t xml:space="preserve">Changer le titre sur le poème</t>
  </si>
  <si>
    <t xml:space="preserve">Vers le printemps</t>
  </si>
  <si>
    <t xml:space="preserve">Hiver, hiver, comment briser</t>
  </si>
  <si>
    <t xml:space="preserve">3M</t>
  </si>
  <si>
    <t xml:space="preserve">G+T</t>
  </si>
  <si>
    <t xml:space="preserve">Attente Mystique n°1</t>
  </si>
  <si>
    <t xml:space="preserve">Ed. Mutuelle</t>
  </si>
  <si>
    <t xml:space="preserve">O mon Dieu je reviens d'un long voyage amer</t>
  </si>
  <si>
    <t xml:space="preserve">Edition Mutuelle (Schola Cantorum)</t>
  </si>
  <si>
    <t xml:space="preserve">29bis</t>
  </si>
  <si>
    <t xml:space="preserve">Orchestre</t>
  </si>
  <si>
    <t xml:space="preserve">le même, avec10 instruments</t>
  </si>
  <si>
    <t xml:space="preserve">Attente Mystique n°2</t>
  </si>
  <si>
    <t xml:space="preserve">Je cherche vos desseins, ô Maître, </t>
  </si>
  <si>
    <t xml:space="preserve">30bis</t>
  </si>
  <si>
    <t xml:space="preserve">Pas de parties séparées</t>
  </si>
  <si>
    <t xml:space="preserve">Attente Mystique n°3</t>
  </si>
  <si>
    <t xml:space="preserve">Ceux qui vous ont trouvée     (durée 4 mn 20)</t>
  </si>
  <si>
    <t xml:space="preserve">31bis</t>
  </si>
  <si>
    <t xml:space="preserve">La poursuite divine</t>
  </si>
  <si>
    <t xml:space="preserve">dont 1 ex primitif avec corrections au crayon</t>
  </si>
  <si>
    <t xml:space="preserve">Invocation d'automne</t>
  </si>
  <si>
    <t xml:space="preserve">Nox</t>
  </si>
  <si>
    <t xml:space="preserve">3 voix + solo</t>
  </si>
  <si>
    <t xml:space="preserve">Leconte de Lisle</t>
  </si>
  <si>
    <t xml:space="preserve">3 voix de femme +un solo; durée 5mn</t>
  </si>
  <si>
    <t xml:space="preserve">Chanson (J'ai dit à mon coeur...)</t>
  </si>
  <si>
    <t xml:space="preserve">Alfred de Musset</t>
  </si>
  <si>
    <t xml:space="preserve">J'ai dit à mon coeur. Corrections au crayon.</t>
  </si>
  <si>
    <t xml:space="preserve">Tristesse</t>
  </si>
  <si>
    <t xml:space="preserve">manuscrit très médiocre</t>
  </si>
  <si>
    <t xml:space="preserve">Manuscrit incvomplet</t>
  </si>
  <si>
    <t xml:space="preserve">Rondel</t>
  </si>
  <si>
    <t xml:space="preserve">Charles d'Orléans </t>
  </si>
  <si>
    <t xml:space="preserve">Fromont</t>
  </si>
  <si>
    <t xml:space="preserve">&lt; 1940</t>
  </si>
  <si>
    <t xml:space="preserve">dédié à sa grand'mère. Ecriture trés jeune.</t>
  </si>
  <si>
    <t xml:space="preserve">E. Fromont</t>
  </si>
  <si>
    <t xml:space="preserve">Prière</t>
  </si>
  <si>
    <t xml:space="preserve">Abbé  Perreyve </t>
  </si>
  <si>
    <t xml:space="preserve">Vierge sainte </t>
  </si>
  <si>
    <t xml:space="preserve">39b</t>
  </si>
  <si>
    <t xml:space="preserve">39bis</t>
  </si>
  <si>
    <t xml:space="preserve">orgue soprano</t>
  </si>
  <si>
    <t xml:space="preserve">version avec orgue</t>
  </si>
  <si>
    <t xml:space="preserve">39a1 39a2</t>
  </si>
  <si>
    <t xml:space="preserve">MM</t>
  </si>
  <si>
    <t xml:space="preserve">Au bord de l'eau</t>
  </si>
  <si>
    <t xml:space="preserve"> Sully Prud'homme</t>
  </si>
  <si>
    <t xml:space="preserve">S'asseoir tous les deux. Ecriture trés jeune</t>
  </si>
  <si>
    <t xml:space="preserve">En deuil</t>
  </si>
  <si>
    <t xml:space="preserve"> Sully Prud'homme </t>
  </si>
  <si>
    <t xml:space="preserve">C'est en deuil surtout que je l'aime</t>
  </si>
  <si>
    <t xml:space="preserve">Elégie (Je ne vous parlerai,,, )</t>
  </si>
  <si>
    <t xml:space="preserve">Henri de Régnier</t>
  </si>
  <si>
    <t xml:space="preserve">Je ne vous parlerai</t>
  </si>
  <si>
    <t xml:space="preserve">le même avec 8 instruments</t>
  </si>
  <si>
    <t xml:space="preserve">Invocation (Pour que la nuit soit douce,,, )</t>
  </si>
  <si>
    <t xml:space="preserve">Pour que la nuit... Ecriture très jeune. Corrections au crayon</t>
  </si>
  <si>
    <t xml:space="preserve">&lt;fa</t>
  </si>
  <si>
    <t xml:space="preserve">beaucoup de crayon</t>
  </si>
  <si>
    <t xml:space="preserve">La colline</t>
  </si>
  <si>
    <t xml:space="preserve">Cette colline est belle (2ex)</t>
  </si>
  <si>
    <t xml:space="preserve">Le secret (Prends garde si tu veux…)</t>
  </si>
  <si>
    <t xml:space="preserve">Prends garde si tu veux</t>
  </si>
  <si>
    <t xml:space="preserve">Le vrai sage est celui</t>
  </si>
  <si>
    <t xml:space="preserve">2ex. manuscrits</t>
  </si>
  <si>
    <t xml:space="preserve">Les sources</t>
  </si>
  <si>
    <t xml:space="preserve">Comme de sources invisibles</t>
  </si>
  <si>
    <t xml:space="preserve">Hier on parlait de choses et d'autres</t>
  </si>
  <si>
    <t xml:space="preserve">Paul Verlaine</t>
  </si>
  <si>
    <t xml:space="preserve">dédiée à Yv. Ducrocq</t>
  </si>
  <si>
    <t xml:space="preserve">Tous deux (Donc ce sera par un clair jour…)</t>
  </si>
  <si>
    <t xml:space="preserve">Donc ce sera par un clair jour... Ecriture très jeune.</t>
  </si>
  <si>
    <t xml:space="preserve">Chanson (Quand la belle s'en fut au bois)</t>
  </si>
  <si>
    <t xml:space="preserve">Gabriel  Vicaire </t>
  </si>
  <si>
    <t xml:space="preserve">Quand la belles'en fut</t>
  </si>
  <si>
    <t xml:space="preserve">Paysage</t>
  </si>
  <si>
    <t xml:space="preserve">oeuvre de jeunesse</t>
  </si>
  <si>
    <t xml:space="preserve">Dans la forêt chauve et rouillée</t>
  </si>
  <si>
    <t xml:space="preserve">oeuvre de jeunesse (dédiée à Tte Mario). Corrections au crayon</t>
  </si>
  <si>
    <t xml:space="preserve">Ô douce nuit de printemps</t>
  </si>
  <si>
    <t xml:space="preserve">oeuvre de jeunesse (dédiée à Tante Ma)</t>
  </si>
  <si>
    <t xml:space="preserve">La vie est courte comme un jour</t>
  </si>
  <si>
    <t xml:space="preserve">Henri Warnery</t>
  </si>
  <si>
    <t xml:space="preserve">Soir (Voici que les jardins ...)</t>
  </si>
  <si>
    <t xml:space="preserve">Albert Samain</t>
  </si>
  <si>
    <t xml:space="preserve">Le calme divin de la nuit</t>
  </si>
  <si>
    <t xml:space="preserve">?</t>
  </si>
  <si>
    <t xml:space="preserve">Danse</t>
  </si>
  <si>
    <t xml:space="preserve">pièce</t>
  </si>
  <si>
    <t xml:space="preserve">piano seul</t>
  </si>
  <si>
    <t xml:space="preserve">1mn</t>
  </si>
  <si>
    <t xml:space="preserve">P. Sorgèse</t>
  </si>
  <si>
    <t xml:space="preserve">Danse comme les autres</t>
  </si>
  <si>
    <t xml:space="preserve">3mn</t>
  </si>
  <si>
    <t xml:space="preserve">Roudanez</t>
  </si>
  <si>
    <t xml:space="preserve">Dernières lueurs sur la mer</t>
  </si>
  <si>
    <t xml:space="preserve">DJ</t>
  </si>
  <si>
    <t xml:space="preserve">H. Lemoine</t>
  </si>
  <si>
    <t xml:space="preserve">Elévation</t>
  </si>
  <si>
    <t xml:space="preserve">Fleurs d'été</t>
  </si>
  <si>
    <t xml:space="preserve">Impression d'été</t>
  </si>
  <si>
    <t xml:space="preserve">In memoriam</t>
  </si>
  <si>
    <t xml:space="preserve">Jeux d'enfants</t>
  </si>
  <si>
    <t xml:space="preserve">Justorum animae</t>
  </si>
  <si>
    <t xml:space="preserve">mus. religieuse</t>
  </si>
  <si>
    <t xml:space="preserve">orgue, chœur et orchestre</t>
  </si>
  <si>
    <t xml:space="preserve">8mn</t>
  </si>
  <si>
    <t xml:space="preserve">Marche</t>
  </si>
  <si>
    <t xml:space="preserve">Nocturne</t>
  </si>
  <si>
    <t xml:space="preserve">2mn</t>
  </si>
  <si>
    <t xml:space="preserve">Pastiche</t>
  </si>
  <si>
    <t xml:space="preserve">Pastorale</t>
  </si>
  <si>
    <t xml:space="preserve">harmonium</t>
  </si>
  <si>
    <t xml:space="preserve">Prélude et fugue</t>
  </si>
  <si>
    <t xml:space="preserve">Prélude &amp; fugue</t>
  </si>
  <si>
    <t xml:space="preserve">orgue</t>
  </si>
  <si>
    <t xml:space="preserve">~7mn</t>
  </si>
  <si>
    <t xml:space="preserve">Hérelle</t>
  </si>
  <si>
    <t xml:space="preserve">aujourd'hui éditions Combre, bd Poissonnière</t>
  </si>
  <si>
    <t xml:space="preserve">Printemps</t>
  </si>
  <si>
    <t xml:space="preserve">Quatuor (extrait?)</t>
  </si>
  <si>
    <t xml:space="preserve">mus. chambre</t>
  </si>
  <si>
    <t xml:space="preserve">2 violons, alto et viol'celle</t>
  </si>
  <si>
    <t xml:space="preserve">70  mesures</t>
  </si>
  <si>
    <t xml:space="preserve">Quintette en sol mineur</t>
  </si>
  <si>
    <t xml:space="preserve">piano, 2 violons, alto, viol'celle</t>
  </si>
  <si>
    <t xml:space="preserve">20mn</t>
  </si>
  <si>
    <t xml:space="preserve">Salve Regina</t>
  </si>
  <si>
    <t xml:space="preserve">2 soprani, une contralto</t>
  </si>
  <si>
    <t xml:space="preserve">5mn</t>
  </si>
  <si>
    <t xml:space="preserve">3 voix sans accompagnement</t>
  </si>
  <si>
    <t xml:space="preserve">Sonate en ré mineur</t>
  </si>
  <si>
    <t xml:space="preserve">piano et violon</t>
  </si>
  <si>
    <t xml:space="preserve">24 mn</t>
  </si>
  <si>
    <t xml:space="preserve">Sonate en mi b majeur</t>
  </si>
  <si>
    <t xml:space="preserve">piano et viol'celle</t>
  </si>
  <si>
    <t xml:space="preserve">19 mn</t>
  </si>
  <si>
    <t xml:space="preserve">Sonate en la b majeur</t>
  </si>
  <si>
    <t xml:space="preserve">18 mn</t>
  </si>
  <si>
    <t xml:space="preserve">Sortie</t>
  </si>
  <si>
    <t xml:space="preserve">Sous-bois</t>
  </si>
  <si>
    <t xml:space="preserve">oeuvre d'enfant (8 ans)</t>
  </si>
  <si>
    <t xml:space="preserve">Valse</t>
  </si>
  <si>
    <t xml:space="preserve">6mn</t>
  </si>
  <si>
    <t xml:space="preserve">Interlude</t>
  </si>
  <si>
    <t xml:space="preserve">Discordance entre les manuscrits</t>
  </si>
  <si>
    <t xml:space="preserve">Andantino</t>
  </si>
  <si>
    <t xml:space="preserve">Panis Angelicus</t>
  </si>
  <si>
    <t xml:space="preserve">soprano avec piano ou orgue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</si>
</sst>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C]#,##0\ _€;[RED]\-#,##0\ _€"/>
    <numFmt numFmtId="166" formatCode="0"/>
    <numFmt numFmtId="167" formatCode="0.00"/>
    <numFmt numFmtId="168" formatCode="0.0"/>
    <numFmt numFmtId="169" formatCode="General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0"/>
      <charset val="1"/>
    </font>
    <font>
      <sz val="13.5"/>
      <name val="Arial"/>
      <family val="0"/>
      <charset val="1"/>
    </font>
    <font>
      <b val="true"/>
      <sz val="13.5"/>
      <name val="MS Sans Serif"/>
      <family val="2"/>
      <charset val="1"/>
    </font>
    <font>
      <b val="true"/>
      <sz val="13.5"/>
      <name val="MS Sans Serif"/>
      <family val="0"/>
      <charset val="1"/>
    </font>
    <font>
      <b val="true"/>
      <sz val="10"/>
      <name val="Arial"/>
      <family val="0"/>
      <charset val="1"/>
    </font>
    <font>
      <sz val="13.5"/>
      <name val="MS Sans Serif"/>
      <family val="0"/>
      <charset val="1"/>
    </font>
    <font>
      <sz val="18"/>
      <name val="MS Sans Serif"/>
      <family val="2"/>
      <charset val="1"/>
    </font>
    <font>
      <sz val="18"/>
      <name val="MS Sans Serif"/>
      <family val="0"/>
      <charset val="1"/>
    </font>
    <font>
      <sz val="13.5"/>
      <name val="MS Sans Serif"/>
      <family val="2"/>
      <charset val="1"/>
    </font>
    <font>
      <sz val="10"/>
      <color rgb="FF000000"/>
      <name val="Arial"/>
      <family val="2"/>
      <charset val="1"/>
    </font>
    <font>
      <sz val="12"/>
      <name val="MS Sans Serif"/>
      <family val="2"/>
      <charset val="1"/>
    </font>
    <font>
      <sz val="11"/>
      <name val="MS Sans Serif"/>
      <family val="2"/>
      <charset val="1"/>
    </font>
    <font>
      <sz val="12"/>
      <name val="MS Sans Serif"/>
      <family val="0"/>
      <charset val="1"/>
    </font>
    <font>
      <sz val="18"/>
      <name val="MS sans serif"/>
      <family val="2"/>
      <charset val="1"/>
    </font>
    <font>
      <b val="true"/>
      <sz val="18"/>
      <name val="MS sans serif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7" fillId="0" borderId="1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[0]_SAUFMELO" xfId="20"/>
    <cellStyle name="Normal_SAUFMELO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atalog&apos;%20des%20oeuvres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RSMELO"/>
      <sheetName val="ORGUE"/>
      <sheetName val="Ttes mélodies"/>
      <sheetName val="MELPIANO"/>
      <sheetName val=" mélodies par type"/>
      <sheetName val="Mélodies piano une voix, chante"/>
      <sheetName val="n voix, orchestre"/>
      <sheetName val="MELPIANO bis"/>
      <sheetName val="D. MEA"/>
      <sheetName val="piano, 1 voix, E ou G"/>
      <sheetName val="Feuil3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B1048576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R68" activeCellId="0" sqref="R68"/>
    </sheetView>
  </sheetViews>
  <sheetFormatPr defaultColWidth="11.0546875" defaultRowHeight="18.75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65.7"/>
    <col collapsed="false" customWidth="true" hidden="false" outlineLevel="0" max="3" min="3" style="2" width="0.28"/>
    <col collapsed="false" customWidth="true" hidden="false" outlineLevel="0" max="4" min="4" style="1" width="11.43"/>
    <col collapsed="false" customWidth="true" hidden="false" outlineLevel="0" max="5" min="5" style="1" width="16.12"/>
    <col collapsed="false" customWidth="true" hidden="false" outlineLevel="0" max="6" min="6" style="2" width="10.85"/>
    <col collapsed="false" customWidth="true" hidden="false" outlineLevel="0" max="7" min="7" style="3" width="10.85"/>
    <col collapsed="false" customWidth="true" hidden="false" outlineLevel="0" max="8" min="8" style="1" width="26.28"/>
    <col collapsed="false" customWidth="true" hidden="true" outlineLevel="0" max="9" min="9" style="1" width="6.41"/>
    <col collapsed="false" customWidth="true" hidden="false" outlineLevel="0" max="10" min="10" style="1" width="8.28"/>
    <col collapsed="false" customWidth="true" hidden="false" outlineLevel="0" max="11" min="11" style="2" width="16.12"/>
    <col collapsed="false" customWidth="true" hidden="true" outlineLevel="0" max="12" min="12" style="1" width="61.41"/>
    <col collapsed="false" customWidth="true" hidden="false" outlineLevel="0" max="13" min="13" style="1" width="12.28"/>
    <col collapsed="false" customWidth="true" hidden="false" outlineLevel="0" max="14" min="14" style="1" width="21.43"/>
    <col collapsed="false" customWidth="true" hidden="false" outlineLevel="0" max="15" min="15" style="4" width="7.7"/>
    <col collapsed="false" customWidth="true" hidden="false" outlineLevel="0" max="18" min="18" style="4" width="15.02"/>
    <col collapsed="false" customWidth="true" hidden="false" outlineLevel="0" max="16384" min="16380" style="4" width="11.53"/>
  </cols>
  <sheetData>
    <row r="1" s="14" customFormat="true" ht="60.7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7" t="s">
        <v>6</v>
      </c>
      <c r="H1" s="6" t="s">
        <v>7</v>
      </c>
      <c r="I1" s="6" t="s">
        <v>8</v>
      </c>
      <c r="J1" s="10" t="s">
        <v>9</v>
      </c>
      <c r="K1" s="10"/>
      <c r="L1" s="6" t="s">
        <v>10</v>
      </c>
      <c r="M1" s="11" t="s">
        <v>11</v>
      </c>
      <c r="N1" s="6" t="s">
        <v>8</v>
      </c>
      <c r="O1" s="6" t="s">
        <v>12</v>
      </c>
      <c r="P1" s="6" t="s">
        <v>13</v>
      </c>
      <c r="Q1" s="12" t="s">
        <v>10</v>
      </c>
      <c r="R1" s="12" t="s">
        <v>14</v>
      </c>
      <c r="S1" s="12" t="s">
        <v>15</v>
      </c>
      <c r="T1" s="12" t="s">
        <v>16</v>
      </c>
      <c r="U1" s="12" t="s">
        <v>17</v>
      </c>
      <c r="V1" s="12"/>
      <c r="W1" s="13"/>
      <c r="X1" s="13"/>
      <c r="Y1" s="13"/>
      <c r="Z1" s="13"/>
      <c r="AA1" s="13"/>
      <c r="AB1" s="13"/>
      <c r="XFA1" s="4"/>
      <c r="XFB1" s="4"/>
    </row>
    <row r="2" customFormat="false" ht="22.05" hidden="false" customHeight="false" outlineLevel="0" collapsed="false">
      <c r="A2" s="15" t="n">
        <v>1</v>
      </c>
      <c r="B2" s="16" t="s">
        <v>18</v>
      </c>
      <c r="C2" s="17" t="n">
        <v>3.5</v>
      </c>
      <c r="D2" s="18" t="s">
        <v>19</v>
      </c>
      <c r="E2" s="18" t="s">
        <v>20</v>
      </c>
      <c r="F2" s="19" t="n">
        <v>1</v>
      </c>
      <c r="G2" s="19" t="n">
        <v>3.15</v>
      </c>
      <c r="H2" s="20" t="s">
        <v>21</v>
      </c>
      <c r="I2" s="20" t="s">
        <v>22</v>
      </c>
      <c r="J2" s="21" t="n">
        <v>1916</v>
      </c>
      <c r="K2" s="19" t="n">
        <v>201720</v>
      </c>
      <c r="L2" s="22" t="s">
        <v>23</v>
      </c>
      <c r="M2" s="23" t="s">
        <v>24</v>
      </c>
      <c r="N2" s="22" t="s">
        <v>25</v>
      </c>
      <c r="O2" s="20" t="s">
        <v>26</v>
      </c>
      <c r="P2" s="20" t="s">
        <v>27</v>
      </c>
      <c r="Q2" s="18"/>
      <c r="R2" s="24" t="s">
        <v>28</v>
      </c>
      <c r="S2" s="24"/>
      <c r="T2" s="24"/>
      <c r="U2" s="24"/>
      <c r="V2" s="24"/>
    </row>
    <row r="3" customFormat="false" ht="22.05" hidden="false" customHeight="false" outlineLevel="0" collapsed="false">
      <c r="A3" s="15" t="n">
        <f aca="false">A2+1</f>
        <v>2</v>
      </c>
      <c r="B3" s="16" t="s">
        <v>29</v>
      </c>
      <c r="C3" s="17" t="n">
        <v>3</v>
      </c>
      <c r="D3" s="18" t="s">
        <v>19</v>
      </c>
      <c r="E3" s="18" t="s">
        <v>20</v>
      </c>
      <c r="F3" s="19" t="n">
        <v>1</v>
      </c>
      <c r="G3" s="19" t="n">
        <v>2.7</v>
      </c>
      <c r="H3" s="20" t="s">
        <v>30</v>
      </c>
      <c r="I3" s="20" t="s">
        <v>31</v>
      </c>
      <c r="J3" s="21" t="n">
        <v>1924</v>
      </c>
      <c r="K3" s="19" t="n">
        <v>278623</v>
      </c>
      <c r="L3" s="22"/>
      <c r="M3" s="23" t="s">
        <v>32</v>
      </c>
      <c r="N3" s="22"/>
      <c r="O3" s="20" t="s">
        <v>33</v>
      </c>
      <c r="P3" s="20" t="e">
        <f aca="false">#REF!</f>
        <v>#REF!</v>
      </c>
      <c r="Q3" s="18"/>
      <c r="R3" s="24"/>
      <c r="S3" s="24"/>
      <c r="T3" s="24"/>
      <c r="U3" s="24" t="s">
        <v>34</v>
      </c>
      <c r="V3" s="24"/>
    </row>
    <row r="4" customFormat="false" ht="22.05" hidden="false" customHeight="false" outlineLevel="0" collapsed="false">
      <c r="A4" s="15" t="n">
        <f aca="false">A3+1</f>
        <v>3</v>
      </c>
      <c r="B4" s="16" t="s">
        <v>35</v>
      </c>
      <c r="C4" s="17"/>
      <c r="D4" s="18" t="s">
        <v>36</v>
      </c>
      <c r="E4" s="19" t="s">
        <v>37</v>
      </c>
      <c r="F4" s="4"/>
      <c r="G4" s="19"/>
      <c r="H4" s="20" t="s">
        <v>30</v>
      </c>
      <c r="I4" s="20" t="s">
        <v>31</v>
      </c>
      <c r="J4" s="21"/>
      <c r="K4" s="19" t="s">
        <v>31</v>
      </c>
      <c r="L4" s="22" t="s">
        <v>38</v>
      </c>
      <c r="M4" s="23"/>
      <c r="N4" s="22"/>
      <c r="O4" s="20" t="s">
        <v>28</v>
      </c>
      <c r="P4" s="20" t="s">
        <v>28</v>
      </c>
      <c r="Q4" s="18"/>
      <c r="R4" s="24"/>
      <c r="S4" s="24"/>
      <c r="T4" s="24"/>
      <c r="U4" s="24" t="s">
        <v>34</v>
      </c>
      <c r="V4" s="24"/>
    </row>
    <row r="5" customFormat="false" ht="22.05" hidden="false" customHeight="false" outlineLevel="0" collapsed="false">
      <c r="A5" s="15" t="n">
        <f aca="false">A4+1</f>
        <v>4</v>
      </c>
      <c r="B5" s="16" t="s">
        <v>35</v>
      </c>
      <c r="C5" s="17" t="n">
        <v>2.5</v>
      </c>
      <c r="D5" s="18" t="s">
        <v>19</v>
      </c>
      <c r="E5" s="18" t="s">
        <v>20</v>
      </c>
      <c r="F5" s="19" t="n">
        <v>1</v>
      </c>
      <c r="G5" s="19" t="n">
        <v>2.25</v>
      </c>
      <c r="H5" s="20" t="s">
        <v>21</v>
      </c>
      <c r="I5" s="20" t="s">
        <v>31</v>
      </c>
      <c r="J5" s="21"/>
      <c r="K5" s="19" t="n">
        <v>278622</v>
      </c>
      <c r="L5" s="22"/>
      <c r="M5" s="23" t="s">
        <v>32</v>
      </c>
      <c r="N5" s="22"/>
      <c r="O5" s="20" t="s">
        <v>39</v>
      </c>
      <c r="P5" s="20" t="e">
        <f aca="false">#REF!</f>
        <v>#REF!</v>
      </c>
      <c r="Q5" s="18"/>
      <c r="R5" s="24"/>
      <c r="S5" s="24"/>
      <c r="T5" s="24"/>
      <c r="U5" s="24" t="s">
        <v>34</v>
      </c>
      <c r="V5" s="24"/>
    </row>
    <row r="6" customFormat="false" ht="22.05" hidden="false" customHeight="false" outlineLevel="0" collapsed="false">
      <c r="A6" s="15" t="n">
        <f aca="false">A5+1</f>
        <v>5</v>
      </c>
      <c r="B6" s="16" t="s">
        <v>40</v>
      </c>
      <c r="C6" s="17" t="n">
        <v>2.5</v>
      </c>
      <c r="D6" s="18" t="s">
        <v>19</v>
      </c>
      <c r="E6" s="18" t="s">
        <v>20</v>
      </c>
      <c r="F6" s="19" t="n">
        <v>1</v>
      </c>
      <c r="G6" s="19" t="n">
        <v>2.25</v>
      </c>
      <c r="H6" s="20" t="s">
        <v>21</v>
      </c>
      <c r="I6" s="20" t="s">
        <v>31</v>
      </c>
      <c r="J6" s="21" t="n">
        <v>2002</v>
      </c>
      <c r="K6" s="19" t="n">
        <v>9968604111</v>
      </c>
      <c r="L6" s="22"/>
      <c r="M6" s="23" t="s">
        <v>41</v>
      </c>
      <c r="N6" s="22"/>
      <c r="O6" s="20" t="s">
        <v>39</v>
      </c>
      <c r="P6" s="20" t="s">
        <v>34</v>
      </c>
      <c r="Q6" s="18"/>
      <c r="R6" s="24" t="s">
        <v>28</v>
      </c>
      <c r="S6" s="24"/>
      <c r="T6" s="24" t="s">
        <v>34</v>
      </c>
      <c r="U6" s="24"/>
      <c r="V6" s="24"/>
    </row>
    <row r="7" customFormat="false" ht="22.05" hidden="false" customHeight="false" outlineLevel="0" collapsed="false">
      <c r="A7" s="15" t="n">
        <f aca="false">A6+1</f>
        <v>6</v>
      </c>
      <c r="B7" s="16" t="s">
        <v>42</v>
      </c>
      <c r="C7" s="17"/>
      <c r="D7" s="18" t="s">
        <v>19</v>
      </c>
      <c r="E7" s="18" t="s">
        <v>20</v>
      </c>
      <c r="F7" s="19"/>
      <c r="G7" s="19"/>
      <c r="H7" s="20" t="s">
        <v>21</v>
      </c>
      <c r="I7" s="20" t="s">
        <v>31</v>
      </c>
      <c r="J7" s="21"/>
      <c r="K7" s="19" t="n">
        <v>508115</v>
      </c>
      <c r="L7" s="22" t="s">
        <v>43</v>
      </c>
      <c r="M7" s="23"/>
      <c r="N7" s="22"/>
      <c r="O7" s="20" t="s">
        <v>44</v>
      </c>
      <c r="P7" s="25" t="s">
        <v>45</v>
      </c>
      <c r="Q7" s="18"/>
      <c r="R7" s="24"/>
      <c r="S7" s="24"/>
      <c r="T7" s="24"/>
      <c r="U7" s="24"/>
      <c r="V7" s="24"/>
    </row>
    <row r="8" customFormat="false" ht="22.05" hidden="false" customHeight="false" outlineLevel="0" collapsed="false">
      <c r="A8" s="15" t="n">
        <f aca="false">A7+1</f>
        <v>7</v>
      </c>
      <c r="B8" s="16" t="s">
        <v>46</v>
      </c>
      <c r="C8" s="17" t="n">
        <v>6</v>
      </c>
      <c r="D8" s="18" t="s">
        <v>19</v>
      </c>
      <c r="E8" s="18" t="s">
        <v>20</v>
      </c>
      <c r="F8" s="19" t="n">
        <v>1</v>
      </c>
      <c r="G8" s="19" t="n">
        <v>5.4</v>
      </c>
      <c r="H8" s="20" t="s">
        <v>30</v>
      </c>
      <c r="I8" s="20" t="s">
        <v>31</v>
      </c>
      <c r="J8" s="21"/>
      <c r="K8" s="19" t="n">
        <v>508115</v>
      </c>
      <c r="L8" s="22" t="s">
        <v>47</v>
      </c>
      <c r="M8" s="23" t="s">
        <v>32</v>
      </c>
      <c r="N8" s="22"/>
      <c r="O8" s="20" t="s">
        <v>28</v>
      </c>
      <c r="P8" s="20" t="e">
        <f aca="false">#REF!</f>
        <v>#REF!</v>
      </c>
      <c r="Q8" s="18" t="s">
        <v>48</v>
      </c>
      <c r="R8" s="24"/>
      <c r="S8" s="24"/>
      <c r="T8" s="24" t="s">
        <v>34</v>
      </c>
      <c r="U8" s="24"/>
      <c r="V8" s="24"/>
    </row>
    <row r="9" customFormat="false" ht="22.05" hidden="false" customHeight="false" outlineLevel="0" collapsed="false">
      <c r="A9" s="15" t="n">
        <f aca="false">A8+1</f>
        <v>8</v>
      </c>
      <c r="B9" s="16" t="s">
        <v>49</v>
      </c>
      <c r="C9" s="17" t="n">
        <v>4</v>
      </c>
      <c r="D9" s="18" t="s">
        <v>19</v>
      </c>
      <c r="E9" s="18" t="s">
        <v>20</v>
      </c>
      <c r="F9" s="19" t="n">
        <v>1</v>
      </c>
      <c r="G9" s="19" t="n">
        <v>3.6</v>
      </c>
      <c r="H9" s="20" t="s">
        <v>30</v>
      </c>
      <c r="I9" s="20" t="s">
        <v>31</v>
      </c>
      <c r="J9" s="21"/>
      <c r="K9" s="19" t="n">
        <v>508115</v>
      </c>
      <c r="L9" s="22" t="s">
        <v>50</v>
      </c>
      <c r="M9" s="23" t="s">
        <v>32</v>
      </c>
      <c r="N9" s="22"/>
      <c r="O9" s="20" t="s">
        <v>28</v>
      </c>
      <c r="P9" s="20" t="s">
        <v>28</v>
      </c>
      <c r="Q9" s="18"/>
      <c r="R9" s="24"/>
      <c r="S9" s="24"/>
      <c r="T9" s="24" t="s">
        <v>34</v>
      </c>
      <c r="U9" s="24"/>
      <c r="V9" s="24"/>
    </row>
    <row r="10" customFormat="false" ht="22.05" hidden="false" customHeight="false" outlineLevel="0" collapsed="false">
      <c r="A10" s="15" t="n">
        <f aca="false">A9+1</f>
        <v>9</v>
      </c>
      <c r="B10" s="16" t="s">
        <v>51</v>
      </c>
      <c r="C10" s="17"/>
      <c r="D10" s="18" t="s">
        <v>19</v>
      </c>
      <c r="E10" s="18" t="s">
        <v>20</v>
      </c>
      <c r="F10" s="19"/>
      <c r="G10" s="19"/>
      <c r="H10" s="20" t="s">
        <v>30</v>
      </c>
      <c r="I10" s="20" t="s">
        <v>31</v>
      </c>
      <c r="J10" s="21"/>
      <c r="K10" s="19" t="n">
        <v>508116</v>
      </c>
      <c r="L10" s="22" t="s">
        <v>52</v>
      </c>
      <c r="M10" s="23"/>
      <c r="N10" s="22"/>
      <c r="O10" s="20" t="s">
        <v>44</v>
      </c>
      <c r="P10" s="25" t="s">
        <v>45</v>
      </c>
      <c r="Q10" s="18"/>
      <c r="R10" s="24"/>
      <c r="S10" s="24" t="s">
        <v>28</v>
      </c>
      <c r="T10" s="24"/>
      <c r="U10" s="24"/>
      <c r="V10" s="24"/>
    </row>
    <row r="11" customFormat="false" ht="22.05" hidden="false" customHeight="false" outlineLevel="0" collapsed="false">
      <c r="A11" s="15" t="n">
        <f aca="false">A10+1</f>
        <v>10</v>
      </c>
      <c r="B11" s="16" t="s">
        <v>53</v>
      </c>
      <c r="C11" s="17"/>
      <c r="D11" s="18" t="s">
        <v>19</v>
      </c>
      <c r="E11" s="18" t="s">
        <v>20</v>
      </c>
      <c r="F11" s="26" t="s">
        <v>54</v>
      </c>
      <c r="G11" s="19"/>
      <c r="H11" s="20" t="s">
        <v>30</v>
      </c>
      <c r="I11" s="20" t="s">
        <v>31</v>
      </c>
      <c r="J11" s="21"/>
      <c r="K11" s="19" t="n">
        <v>508117</v>
      </c>
      <c r="L11" s="22" t="s">
        <v>55</v>
      </c>
      <c r="M11" s="23"/>
      <c r="N11" s="22"/>
      <c r="O11" s="20" t="s">
        <v>28</v>
      </c>
      <c r="P11" s="20" t="s">
        <v>28</v>
      </c>
      <c r="Q11" s="18"/>
      <c r="R11" s="24"/>
      <c r="S11" s="24"/>
      <c r="T11" s="24"/>
      <c r="U11" s="24"/>
      <c r="V11" s="24"/>
    </row>
    <row r="12" customFormat="false" ht="22.05" hidden="false" customHeight="false" outlineLevel="0" collapsed="false">
      <c r="A12" s="15" t="n">
        <f aca="false">A11+1</f>
        <v>11</v>
      </c>
      <c r="B12" s="16" t="s">
        <v>56</v>
      </c>
      <c r="C12" s="17" t="n">
        <v>4</v>
      </c>
      <c r="D12" s="18" t="s">
        <v>19</v>
      </c>
      <c r="E12" s="18" t="s">
        <v>20</v>
      </c>
      <c r="F12" s="19" t="n">
        <v>1</v>
      </c>
      <c r="G12" s="19" t="n">
        <v>3.6</v>
      </c>
      <c r="H12" s="20" t="s">
        <v>21</v>
      </c>
      <c r="I12" s="20" t="s">
        <v>57</v>
      </c>
      <c r="J12" s="21" t="n">
        <v>1916</v>
      </c>
      <c r="K12" s="19" t="n">
        <v>201720</v>
      </c>
      <c r="L12" s="22" t="s">
        <v>58</v>
      </c>
      <c r="M12" s="23" t="s">
        <v>41</v>
      </c>
      <c r="N12" s="22" t="s">
        <v>59</v>
      </c>
      <c r="O12" s="20" t="s">
        <v>27</v>
      </c>
      <c r="P12" s="25" t="s">
        <v>27</v>
      </c>
      <c r="Q12" s="18" t="s">
        <v>60</v>
      </c>
      <c r="R12" s="24"/>
      <c r="S12" s="24"/>
      <c r="T12" s="24"/>
      <c r="U12" s="24"/>
      <c r="V12" s="24"/>
    </row>
    <row r="13" customFormat="false" ht="22.05" hidden="false" customHeight="false" outlineLevel="0" collapsed="false">
      <c r="A13" s="15" t="s">
        <v>61</v>
      </c>
      <c r="B13" s="16" t="s">
        <v>56</v>
      </c>
      <c r="C13" s="17" t="n">
        <v>4</v>
      </c>
      <c r="D13" s="18" t="s">
        <v>19</v>
      </c>
      <c r="E13" s="18" t="s">
        <v>20</v>
      </c>
      <c r="F13" s="19" t="n">
        <v>1</v>
      </c>
      <c r="G13" s="19" t="n">
        <v>3.6</v>
      </c>
      <c r="H13" s="20" t="s">
        <v>21</v>
      </c>
      <c r="I13" s="20" t="s">
        <v>57</v>
      </c>
      <c r="J13" s="21" t="n">
        <v>1916</v>
      </c>
      <c r="K13" s="19" t="n">
        <v>508118</v>
      </c>
      <c r="L13" s="22" t="s">
        <v>58</v>
      </c>
      <c r="M13" s="23" t="s">
        <v>41</v>
      </c>
      <c r="N13" s="22"/>
      <c r="O13" s="20" t="s">
        <v>62</v>
      </c>
      <c r="P13" s="25" t="s">
        <v>27</v>
      </c>
      <c r="Q13" s="18"/>
      <c r="R13" s="24"/>
      <c r="S13" s="24"/>
      <c r="T13" s="24"/>
      <c r="U13" s="24"/>
      <c r="V13" s="24"/>
    </row>
    <row r="14" customFormat="false" ht="22.05" hidden="false" customHeight="false" outlineLevel="0" collapsed="false">
      <c r="A14" s="15" t="n">
        <f aca="false">A12+1</f>
        <v>12</v>
      </c>
      <c r="B14" s="16" t="s">
        <v>63</v>
      </c>
      <c r="C14" s="17" t="n">
        <v>7</v>
      </c>
      <c r="D14" s="18" t="s">
        <v>19</v>
      </c>
      <c r="E14" s="18" t="s">
        <v>20</v>
      </c>
      <c r="F14" s="19" t="n">
        <v>1</v>
      </c>
      <c r="G14" s="19" t="n">
        <v>6.3</v>
      </c>
      <c r="H14" s="20" t="s">
        <v>21</v>
      </c>
      <c r="I14" s="20" t="s">
        <v>31</v>
      </c>
      <c r="J14" s="21"/>
      <c r="K14" s="19" t="n">
        <v>508118</v>
      </c>
      <c r="L14" s="22" t="s">
        <v>64</v>
      </c>
      <c r="M14" s="23" t="s">
        <v>65</v>
      </c>
      <c r="N14" s="22"/>
      <c r="O14" s="20" t="s">
        <v>62</v>
      </c>
      <c r="P14" s="20" t="s">
        <v>34</v>
      </c>
      <c r="Q14" s="18"/>
      <c r="R14" s="24"/>
      <c r="S14" s="24"/>
      <c r="T14" s="24" t="s">
        <v>34</v>
      </c>
      <c r="U14" s="24"/>
      <c r="V14" s="24"/>
    </row>
    <row r="15" customFormat="false" ht="22.05" hidden="false" customHeight="false" outlineLevel="0" collapsed="false">
      <c r="A15" s="15" t="n">
        <f aca="false">A14+1</f>
        <v>13</v>
      </c>
      <c r="B15" s="16" t="s">
        <v>66</v>
      </c>
      <c r="C15" s="17"/>
      <c r="D15" s="18" t="s">
        <v>19</v>
      </c>
      <c r="E15" s="18" t="s">
        <v>20</v>
      </c>
      <c r="F15" s="19"/>
      <c r="G15" s="19"/>
      <c r="H15" s="20" t="s">
        <v>30</v>
      </c>
      <c r="I15" s="20" t="s">
        <v>31</v>
      </c>
      <c r="J15" s="21" t="s">
        <v>67</v>
      </c>
      <c r="K15" s="19" t="s">
        <v>68</v>
      </c>
      <c r="L15" s="22" t="s">
        <v>69</v>
      </c>
      <c r="M15" s="23"/>
      <c r="N15" s="22"/>
      <c r="O15" s="20" t="s">
        <v>44</v>
      </c>
      <c r="P15" s="20" t="s">
        <v>45</v>
      </c>
      <c r="Q15" s="18"/>
      <c r="R15" s="24"/>
      <c r="S15" s="24"/>
      <c r="T15" s="24"/>
      <c r="U15" s="24"/>
      <c r="V15" s="24"/>
    </row>
    <row r="16" customFormat="false" ht="22.05" hidden="false" customHeight="false" outlineLevel="0" collapsed="false">
      <c r="A16" s="15" t="n">
        <f aca="false">A15+1</f>
        <v>14</v>
      </c>
      <c r="B16" s="16" t="s">
        <v>70</v>
      </c>
      <c r="C16" s="17" t="n">
        <v>3</v>
      </c>
      <c r="D16" s="18" t="s">
        <v>19</v>
      </c>
      <c r="E16" s="18" t="s">
        <v>20</v>
      </c>
      <c r="F16" s="19" t="n">
        <v>1</v>
      </c>
      <c r="G16" s="19" t="n">
        <v>2.7</v>
      </c>
      <c r="H16" s="20" t="s">
        <v>30</v>
      </c>
      <c r="I16" s="20" t="s">
        <v>31</v>
      </c>
      <c r="J16" s="21"/>
      <c r="K16" s="19" t="n">
        <v>508119</v>
      </c>
      <c r="L16" s="22" t="s">
        <v>71</v>
      </c>
      <c r="M16" s="23" t="s">
        <v>41</v>
      </c>
      <c r="N16" s="22"/>
      <c r="O16" s="20" t="s">
        <v>72</v>
      </c>
      <c r="P16" s="25" t="e">
        <f aca="false">#REF!</f>
        <v>#REF!</v>
      </c>
      <c r="Q16" s="18"/>
      <c r="R16" s="24"/>
      <c r="S16" s="24"/>
      <c r="T16" s="24" t="s">
        <v>34</v>
      </c>
      <c r="U16" s="24"/>
      <c r="V16" s="24"/>
    </row>
    <row r="17" customFormat="false" ht="22.05" hidden="false" customHeight="false" outlineLevel="0" collapsed="false">
      <c r="A17" s="15" t="n">
        <f aca="false">A16+1</f>
        <v>15</v>
      </c>
      <c r="B17" s="16" t="s">
        <v>73</v>
      </c>
      <c r="C17" s="17" t="n">
        <v>3.5</v>
      </c>
      <c r="D17" s="18" t="s">
        <v>19</v>
      </c>
      <c r="E17" s="18" t="s">
        <v>20</v>
      </c>
      <c r="F17" s="26" t="n">
        <v>1</v>
      </c>
      <c r="G17" s="19" t="n">
        <v>3.15</v>
      </c>
      <c r="H17" s="20" t="s">
        <v>30</v>
      </c>
      <c r="I17" s="20" t="s">
        <v>31</v>
      </c>
      <c r="J17" s="21"/>
      <c r="K17" s="19" t="n">
        <v>508119</v>
      </c>
      <c r="L17" s="22" t="s">
        <v>74</v>
      </c>
      <c r="M17" s="23" t="s">
        <v>32</v>
      </c>
      <c r="N17" s="22"/>
      <c r="O17" s="20" t="s">
        <v>28</v>
      </c>
      <c r="P17" s="20" t="e">
        <f aca="false">#REF!</f>
        <v>#REF!</v>
      </c>
      <c r="Q17" s="18"/>
      <c r="R17" s="24"/>
      <c r="S17" s="24"/>
      <c r="T17" s="24" t="s">
        <v>34</v>
      </c>
      <c r="U17" s="24"/>
      <c r="V17" s="24"/>
    </row>
    <row r="18" customFormat="false" ht="22.05" hidden="false" customHeight="false" outlineLevel="0" collapsed="false">
      <c r="A18" s="15" t="n">
        <f aca="false">A17+1</f>
        <v>16</v>
      </c>
      <c r="B18" s="16" t="s">
        <v>75</v>
      </c>
      <c r="C18" s="17" t="n">
        <v>6</v>
      </c>
      <c r="D18" s="18" t="s">
        <v>19</v>
      </c>
      <c r="E18" s="18" t="s">
        <v>20</v>
      </c>
      <c r="F18" s="19" t="s">
        <v>54</v>
      </c>
      <c r="G18" s="19" t="n">
        <v>5.4</v>
      </c>
      <c r="H18" s="20" t="s">
        <v>30</v>
      </c>
      <c r="I18" s="20" t="s">
        <v>31</v>
      </c>
      <c r="J18" s="21"/>
      <c r="K18" s="19" t="n">
        <v>508120</v>
      </c>
      <c r="L18" s="22" t="s">
        <v>76</v>
      </c>
      <c r="M18" s="23" t="s">
        <v>41</v>
      </c>
      <c r="N18" s="22"/>
      <c r="O18" s="20" t="s">
        <v>62</v>
      </c>
      <c r="P18" s="25" t="s">
        <v>28</v>
      </c>
      <c r="Q18" s="18"/>
      <c r="R18" s="24"/>
      <c r="S18" s="24" t="s">
        <v>28</v>
      </c>
      <c r="T18" s="24"/>
      <c r="U18" s="24" t="s">
        <v>34</v>
      </c>
      <c r="V18" s="24"/>
    </row>
    <row r="19" customFormat="false" ht="22.05" hidden="false" customHeight="false" outlineLevel="0" collapsed="false">
      <c r="A19" s="15" t="n">
        <f aca="false">A18+1</f>
        <v>17</v>
      </c>
      <c r="B19" s="16" t="s">
        <v>77</v>
      </c>
      <c r="C19" s="17" t="n">
        <v>5</v>
      </c>
      <c r="D19" s="18" t="s">
        <v>19</v>
      </c>
      <c r="E19" s="18" t="s">
        <v>20</v>
      </c>
      <c r="F19" s="19" t="n">
        <v>1</v>
      </c>
      <c r="G19" s="19" t="n">
        <v>4.5</v>
      </c>
      <c r="H19" s="20" t="s">
        <v>30</v>
      </c>
      <c r="I19" s="20" t="s">
        <v>31</v>
      </c>
      <c r="J19" s="21"/>
      <c r="K19" s="19" t="n">
        <v>508121</v>
      </c>
      <c r="L19" s="22" t="s">
        <v>78</v>
      </c>
      <c r="M19" s="23" t="s">
        <v>79</v>
      </c>
      <c r="N19" s="22"/>
      <c r="O19" s="20" t="s">
        <v>62</v>
      </c>
      <c r="P19" s="20" t="e">
        <f aca="false">#REF!</f>
        <v>#REF!</v>
      </c>
      <c r="Q19" s="18"/>
      <c r="R19" s="24"/>
      <c r="S19" s="24" t="s">
        <v>28</v>
      </c>
      <c r="T19" s="24" t="s">
        <v>34</v>
      </c>
      <c r="U19" s="24"/>
      <c r="V19" s="24"/>
    </row>
    <row r="20" customFormat="false" ht="22.05" hidden="false" customHeight="false" outlineLevel="0" collapsed="false">
      <c r="A20" s="15" t="n">
        <f aca="false">A19+1</f>
        <v>18</v>
      </c>
      <c r="B20" s="16" t="s">
        <v>80</v>
      </c>
      <c r="C20" s="17" t="n">
        <v>2.5</v>
      </c>
      <c r="D20" s="18" t="s">
        <v>19</v>
      </c>
      <c r="E20" s="18" t="s">
        <v>20</v>
      </c>
      <c r="F20" s="19" t="n">
        <v>1</v>
      </c>
      <c r="G20" s="19" t="n">
        <v>2.25</v>
      </c>
      <c r="H20" s="20" t="s">
        <v>81</v>
      </c>
      <c r="I20" s="20" t="s">
        <v>31</v>
      </c>
      <c r="J20" s="21" t="n">
        <v>2003</v>
      </c>
      <c r="K20" s="19" t="n">
        <v>2097112811</v>
      </c>
      <c r="L20" s="22"/>
      <c r="M20" s="23" t="s">
        <v>65</v>
      </c>
      <c r="N20" s="22"/>
      <c r="O20" s="20" t="s">
        <v>28</v>
      </c>
      <c r="P20" s="20"/>
      <c r="Q20" s="18"/>
      <c r="R20" s="24" t="s">
        <v>28</v>
      </c>
      <c r="S20" s="24"/>
      <c r="T20" s="24"/>
      <c r="U20" s="24"/>
      <c r="V20" s="24"/>
    </row>
    <row r="21" customFormat="false" ht="22.05" hidden="false" customHeight="false" outlineLevel="0" collapsed="false">
      <c r="A21" s="15" t="n">
        <f aca="false">A20+1</f>
        <v>19</v>
      </c>
      <c r="B21" s="16" t="s">
        <v>82</v>
      </c>
      <c r="C21" s="17" t="n">
        <v>3.5</v>
      </c>
      <c r="D21" s="18" t="s">
        <v>19</v>
      </c>
      <c r="E21" s="18" t="s">
        <v>20</v>
      </c>
      <c r="F21" s="19" t="n">
        <v>1</v>
      </c>
      <c r="G21" s="19" t="n">
        <v>3.15</v>
      </c>
      <c r="H21" s="20" t="s">
        <v>83</v>
      </c>
      <c r="I21" s="20" t="s">
        <v>31</v>
      </c>
      <c r="J21" s="21" t="n">
        <v>2003</v>
      </c>
      <c r="K21" s="19" t="n">
        <v>2040670711</v>
      </c>
      <c r="L21" s="22"/>
      <c r="M21" s="23" t="s">
        <v>84</v>
      </c>
      <c r="N21" s="22"/>
      <c r="O21" s="20" t="s">
        <v>85</v>
      </c>
      <c r="P21" s="25" t="s">
        <v>34</v>
      </c>
      <c r="Q21" s="18"/>
      <c r="R21" s="24" t="s">
        <v>28</v>
      </c>
      <c r="S21" s="24"/>
      <c r="T21" s="24" t="s">
        <v>34</v>
      </c>
      <c r="U21" s="24"/>
      <c r="V21" s="24"/>
    </row>
    <row r="22" customFormat="false" ht="22.05" hidden="false" customHeight="false" outlineLevel="0" collapsed="false">
      <c r="A22" s="15" t="n">
        <f aca="false">A21+1</f>
        <v>20</v>
      </c>
      <c r="B22" s="16" t="s">
        <v>86</v>
      </c>
      <c r="C22" s="17" t="n">
        <v>3</v>
      </c>
      <c r="D22" s="18" t="s">
        <v>19</v>
      </c>
      <c r="E22" s="18" t="s">
        <v>20</v>
      </c>
      <c r="F22" s="26" t="n">
        <v>1</v>
      </c>
      <c r="G22" s="19" t="n">
        <v>2.7</v>
      </c>
      <c r="H22" s="20" t="s">
        <v>87</v>
      </c>
      <c r="I22" s="20" t="s">
        <v>31</v>
      </c>
      <c r="J22" s="21" t="n">
        <v>2002</v>
      </c>
      <c r="K22" s="19" t="n">
        <v>9971437011</v>
      </c>
      <c r="L22" s="22"/>
      <c r="M22" s="23" t="s">
        <v>24</v>
      </c>
      <c r="N22" s="22"/>
      <c r="O22" s="20" t="s">
        <v>88</v>
      </c>
      <c r="P22" s="20" t="s">
        <v>34</v>
      </c>
      <c r="Q22" s="18" t="s">
        <v>89</v>
      </c>
      <c r="R22" s="24" t="s">
        <v>90</v>
      </c>
      <c r="S22" s="24"/>
      <c r="T22" s="24" t="s">
        <v>34</v>
      </c>
      <c r="U22" s="24"/>
      <c r="V22" s="24"/>
    </row>
    <row r="23" customFormat="false" ht="22.05" hidden="false" customHeight="false" outlineLevel="0" collapsed="false">
      <c r="A23" s="15" t="n">
        <f aca="false">A22+1</f>
        <v>21</v>
      </c>
      <c r="B23" s="16" t="s">
        <v>91</v>
      </c>
      <c r="C23" s="17" t="n">
        <v>4</v>
      </c>
      <c r="D23" s="18" t="s">
        <v>19</v>
      </c>
      <c r="E23" s="18" t="s">
        <v>20</v>
      </c>
      <c r="F23" s="19" t="n">
        <v>1</v>
      </c>
      <c r="G23" s="19" t="n">
        <v>3.6</v>
      </c>
      <c r="H23" s="20" t="s">
        <v>92</v>
      </c>
      <c r="I23" s="20" t="s">
        <v>31</v>
      </c>
      <c r="J23" s="21" t="n">
        <v>2002</v>
      </c>
      <c r="K23" s="19" t="n">
        <v>2025865711</v>
      </c>
      <c r="L23" s="22"/>
      <c r="M23" s="23" t="s">
        <v>32</v>
      </c>
      <c r="N23" s="22"/>
      <c r="O23" s="20" t="s">
        <v>39</v>
      </c>
      <c r="P23" s="25" t="s">
        <v>34</v>
      </c>
      <c r="Q23" s="18"/>
      <c r="R23" s="24" t="s">
        <v>28</v>
      </c>
      <c r="S23" s="24"/>
      <c r="T23" s="24" t="s">
        <v>34</v>
      </c>
      <c r="U23" s="24"/>
      <c r="V23" s="24"/>
    </row>
    <row r="24" customFormat="false" ht="22.05" hidden="false" customHeight="false" outlineLevel="0" collapsed="false">
      <c r="A24" s="15" t="n">
        <f aca="false">A23+1</f>
        <v>22</v>
      </c>
      <c r="B24" s="16" t="s">
        <v>93</v>
      </c>
      <c r="C24" s="17" t="n">
        <v>3</v>
      </c>
      <c r="D24" s="18" t="s">
        <v>19</v>
      </c>
      <c r="E24" s="18" t="s">
        <v>20</v>
      </c>
      <c r="F24" s="19" t="n">
        <v>1</v>
      </c>
      <c r="G24" s="19" t="n">
        <v>2.7</v>
      </c>
      <c r="H24" s="20" t="str">
        <f aca="false">H23</f>
        <v>Charles Guérin</v>
      </c>
      <c r="I24" s="20" t="s">
        <v>31</v>
      </c>
      <c r="J24" s="21" t="n">
        <v>2002</v>
      </c>
      <c r="K24" s="19" t="n">
        <v>2026611211</v>
      </c>
      <c r="L24" s="22"/>
      <c r="M24" s="23" t="s">
        <v>32</v>
      </c>
      <c r="N24" s="22"/>
      <c r="O24" s="20" t="s">
        <v>62</v>
      </c>
      <c r="P24" s="20" t="s">
        <v>28</v>
      </c>
      <c r="Q24" s="18"/>
      <c r="R24" s="24" t="s">
        <v>94</v>
      </c>
      <c r="S24" s="24"/>
      <c r="T24" s="24"/>
      <c r="U24" s="24"/>
      <c r="V24" s="24"/>
    </row>
    <row r="25" customFormat="false" ht="22.05" hidden="false" customHeight="false" outlineLevel="0" collapsed="false">
      <c r="A25" s="15" t="n">
        <f aca="false">A24+1</f>
        <v>23</v>
      </c>
      <c r="B25" s="16" t="s">
        <v>95</v>
      </c>
      <c r="C25" s="17" t="n">
        <v>3.5</v>
      </c>
      <c r="D25" s="18" t="s">
        <v>19</v>
      </c>
      <c r="E25" s="18" t="s">
        <v>20</v>
      </c>
      <c r="F25" s="19" t="n">
        <v>1</v>
      </c>
      <c r="G25" s="19" t="n">
        <v>3.15</v>
      </c>
      <c r="H25" s="20" t="str">
        <f aca="false">H23</f>
        <v>Charles Guérin</v>
      </c>
      <c r="I25" s="20" t="s">
        <v>31</v>
      </c>
      <c r="J25" s="21" t="n">
        <v>2002</v>
      </c>
      <c r="K25" s="19" t="n">
        <v>2025866511</v>
      </c>
      <c r="L25" s="22" t="s">
        <v>96</v>
      </c>
      <c r="M25" s="23" t="s">
        <v>65</v>
      </c>
      <c r="N25" s="22"/>
      <c r="O25" s="20" t="s">
        <v>97</v>
      </c>
      <c r="P25" s="20" t="s">
        <v>34</v>
      </c>
      <c r="Q25" s="18" t="s">
        <v>98</v>
      </c>
      <c r="R25" s="24" t="s">
        <v>99</v>
      </c>
      <c r="S25" s="24"/>
      <c r="T25" s="24" t="s">
        <v>34</v>
      </c>
      <c r="U25" s="24"/>
      <c r="V25" s="24"/>
    </row>
    <row r="26" customFormat="false" ht="22.05" hidden="false" customHeight="false" outlineLevel="0" collapsed="false">
      <c r="A26" s="15" t="s">
        <v>100</v>
      </c>
      <c r="B26" s="16" t="s">
        <v>101</v>
      </c>
      <c r="C26" s="17" t="n">
        <v>6</v>
      </c>
      <c r="D26" s="18" t="s">
        <v>19</v>
      </c>
      <c r="E26" s="18" t="s">
        <v>20</v>
      </c>
      <c r="F26" s="19" t="n">
        <v>1</v>
      </c>
      <c r="G26" s="19" t="n">
        <v>5.4</v>
      </c>
      <c r="H26" s="20" t="str">
        <f aca="false">H24</f>
        <v>Charles Guérin</v>
      </c>
      <c r="I26" s="20" t="s">
        <v>31</v>
      </c>
      <c r="J26" s="21" t="n">
        <v>2002</v>
      </c>
      <c r="K26" s="19" t="n">
        <v>2026600311</v>
      </c>
      <c r="L26" s="22"/>
      <c r="M26" s="23" t="s">
        <v>41</v>
      </c>
      <c r="N26" s="22"/>
      <c r="O26" s="20" t="s">
        <v>28</v>
      </c>
      <c r="P26" s="25" t="s">
        <v>34</v>
      </c>
      <c r="Q26" s="18"/>
      <c r="R26" s="24" t="s">
        <v>28</v>
      </c>
      <c r="S26" s="24"/>
      <c r="T26" s="24"/>
      <c r="U26" s="24"/>
      <c r="V26" s="24"/>
    </row>
    <row r="27" customFormat="false" ht="22.05" hidden="false" customHeight="false" outlineLevel="0" collapsed="false">
      <c r="A27" s="15" t="n">
        <f aca="false">A25+1</f>
        <v>24</v>
      </c>
      <c r="B27" s="16" t="s">
        <v>102</v>
      </c>
      <c r="C27" s="17" t="n">
        <v>5</v>
      </c>
      <c r="D27" s="18" t="s">
        <v>19</v>
      </c>
      <c r="E27" s="18" t="s">
        <v>20</v>
      </c>
      <c r="F27" s="26" t="n">
        <v>1</v>
      </c>
      <c r="G27" s="19" t="n">
        <v>4.5</v>
      </c>
      <c r="H27" s="20" t="str">
        <f aca="false">H23</f>
        <v>Charles Guérin</v>
      </c>
      <c r="I27" s="20" t="s">
        <v>31</v>
      </c>
      <c r="J27" s="21" t="n">
        <v>1926</v>
      </c>
      <c r="K27" s="19" t="n">
        <v>2025870011</v>
      </c>
      <c r="L27" s="22" t="s">
        <v>103</v>
      </c>
      <c r="M27" s="23" t="s">
        <v>32</v>
      </c>
      <c r="N27" s="22"/>
      <c r="O27" s="20" t="s">
        <v>28</v>
      </c>
      <c r="P27" s="20" t="s">
        <v>28</v>
      </c>
      <c r="Q27" s="18"/>
      <c r="R27" s="24"/>
      <c r="S27" s="24" t="s">
        <v>28</v>
      </c>
      <c r="T27" s="24" t="s">
        <v>34</v>
      </c>
      <c r="U27" s="24"/>
      <c r="V27" s="24"/>
    </row>
    <row r="28" customFormat="false" ht="22.05" hidden="false" customHeight="false" outlineLevel="0" collapsed="false">
      <c r="A28" s="15" t="s">
        <v>104</v>
      </c>
      <c r="B28" s="16" t="s">
        <v>105</v>
      </c>
      <c r="C28" s="17" t="n">
        <v>8</v>
      </c>
      <c r="D28" s="18" t="s">
        <v>19</v>
      </c>
      <c r="E28" s="18" t="s">
        <v>20</v>
      </c>
      <c r="F28" s="19" t="n">
        <v>1</v>
      </c>
      <c r="G28" s="19" t="n">
        <v>7.2</v>
      </c>
      <c r="H28" s="20" t="str">
        <f aca="false">H24</f>
        <v>Charles Guérin</v>
      </c>
      <c r="I28" s="20" t="s">
        <v>31</v>
      </c>
      <c r="J28" s="21" t="n">
        <v>2002</v>
      </c>
      <c r="K28" s="19" t="n">
        <v>2025871511</v>
      </c>
      <c r="L28" s="22"/>
      <c r="M28" s="23" t="s">
        <v>32</v>
      </c>
      <c r="N28" s="22"/>
      <c r="O28" s="20" t="s">
        <v>28</v>
      </c>
      <c r="P28" s="25" t="s">
        <v>34</v>
      </c>
      <c r="Q28" s="18"/>
      <c r="R28" s="24" t="s">
        <v>28</v>
      </c>
      <c r="S28" s="24"/>
      <c r="T28" s="24"/>
      <c r="U28" s="24"/>
      <c r="V28" s="24"/>
    </row>
    <row r="29" customFormat="false" ht="22.05" hidden="false" customHeight="false" outlineLevel="0" collapsed="false">
      <c r="A29" s="15" t="n">
        <f aca="false">A27+1</f>
        <v>25</v>
      </c>
      <c r="B29" s="16" t="s">
        <v>106</v>
      </c>
      <c r="C29" s="17" t="n">
        <v>10</v>
      </c>
      <c r="D29" s="18" t="s">
        <v>19</v>
      </c>
      <c r="E29" s="18" t="s">
        <v>20</v>
      </c>
      <c r="F29" s="19" t="n">
        <v>1</v>
      </c>
      <c r="G29" s="19" t="n">
        <v>9</v>
      </c>
      <c r="H29" s="20" t="s">
        <v>107</v>
      </c>
      <c r="I29" s="20" t="s">
        <v>31</v>
      </c>
      <c r="J29" s="21" t="n">
        <v>2002</v>
      </c>
      <c r="K29" s="19" t="n">
        <v>2033659911</v>
      </c>
      <c r="L29" s="22" t="s">
        <v>108</v>
      </c>
      <c r="M29" s="23" t="s">
        <v>32</v>
      </c>
      <c r="N29" s="22"/>
      <c r="O29" s="20" t="s">
        <v>85</v>
      </c>
      <c r="P29" s="20" t="s">
        <v>34</v>
      </c>
      <c r="Q29" s="18"/>
      <c r="R29" s="27" t="s">
        <v>28</v>
      </c>
      <c r="S29" s="27" t="s">
        <v>34</v>
      </c>
      <c r="T29" s="24"/>
      <c r="U29" s="24"/>
      <c r="V29" s="24"/>
    </row>
    <row r="30" customFormat="false" ht="22.05" hidden="false" customHeight="false" outlineLevel="0" collapsed="false">
      <c r="A30" s="15" t="s">
        <v>109</v>
      </c>
      <c r="B30" s="16" t="s">
        <v>106</v>
      </c>
      <c r="C30" s="17" t="n">
        <v>10</v>
      </c>
      <c r="D30" s="18" t="s">
        <v>19</v>
      </c>
      <c r="E30" s="18" t="s">
        <v>20</v>
      </c>
      <c r="F30" s="28" t="s">
        <v>110</v>
      </c>
      <c r="G30" s="19" t="n">
        <v>9</v>
      </c>
      <c r="H30" s="20" t="s">
        <v>107</v>
      </c>
      <c r="I30" s="20" t="s">
        <v>31</v>
      </c>
      <c r="J30" s="21"/>
      <c r="K30" s="19" t="s">
        <v>111</v>
      </c>
      <c r="L30" s="22" t="s">
        <v>112</v>
      </c>
      <c r="M30" s="23"/>
      <c r="N30" s="22" t="s">
        <v>113</v>
      </c>
      <c r="O30" s="20" t="s">
        <v>28</v>
      </c>
      <c r="P30" s="20" t="s">
        <v>28</v>
      </c>
      <c r="Q30" s="18" t="s">
        <v>114</v>
      </c>
      <c r="R30" s="24" t="s">
        <v>28</v>
      </c>
      <c r="S30" s="24" t="s">
        <v>34</v>
      </c>
      <c r="T30" s="24"/>
      <c r="U30" s="24"/>
      <c r="V30" s="24"/>
    </row>
    <row r="31" customFormat="false" ht="22.05" hidden="false" customHeight="false" outlineLevel="0" collapsed="false">
      <c r="A31" s="15" t="n">
        <v>26</v>
      </c>
      <c r="B31" s="16" t="s">
        <v>115</v>
      </c>
      <c r="C31" s="17" t="n">
        <v>10</v>
      </c>
      <c r="D31" s="18" t="s">
        <v>19</v>
      </c>
      <c r="E31" s="18" t="s">
        <v>20</v>
      </c>
      <c r="F31" s="19" t="n">
        <v>1</v>
      </c>
      <c r="G31" s="19" t="n">
        <v>9</v>
      </c>
      <c r="H31" s="20" t="s">
        <v>107</v>
      </c>
      <c r="I31" s="20" t="s">
        <v>31</v>
      </c>
      <c r="J31" s="21" t="n">
        <v>2001</v>
      </c>
      <c r="K31" s="19" t="n">
        <v>2033661111</v>
      </c>
      <c r="L31" s="22" t="s">
        <v>116</v>
      </c>
      <c r="M31" s="23" t="s">
        <v>24</v>
      </c>
      <c r="N31" s="22"/>
      <c r="O31" s="20" t="s">
        <v>85</v>
      </c>
      <c r="P31" s="25" t="s">
        <v>34</v>
      </c>
      <c r="Q31" s="18"/>
      <c r="R31" s="24" t="s">
        <v>28</v>
      </c>
      <c r="S31" s="24" t="s">
        <v>34</v>
      </c>
      <c r="T31" s="24"/>
      <c r="U31" s="24"/>
      <c r="V31" s="24"/>
    </row>
    <row r="32" customFormat="false" ht="22.05" hidden="false" customHeight="false" outlineLevel="0" collapsed="false">
      <c r="A32" s="15" t="n">
        <f aca="false">A31+1</f>
        <v>27</v>
      </c>
      <c r="B32" s="16" t="s">
        <v>117</v>
      </c>
      <c r="C32" s="17"/>
      <c r="D32" s="18" t="s">
        <v>19</v>
      </c>
      <c r="E32" s="18" t="s">
        <v>118</v>
      </c>
      <c r="F32" s="28" t="s">
        <v>110</v>
      </c>
      <c r="G32" s="19"/>
      <c r="H32" s="20" t="s">
        <v>107</v>
      </c>
      <c r="I32" s="20" t="s">
        <v>31</v>
      </c>
      <c r="J32" s="21"/>
      <c r="K32" s="19" t="s">
        <v>31</v>
      </c>
      <c r="L32" s="22" t="s">
        <v>119</v>
      </c>
      <c r="M32" s="23"/>
      <c r="N32" s="22"/>
      <c r="O32" s="20" t="s">
        <v>28</v>
      </c>
      <c r="P32" s="20" t="s">
        <v>28</v>
      </c>
      <c r="Q32" s="18" t="s">
        <v>120</v>
      </c>
      <c r="R32" s="24" t="s">
        <v>28</v>
      </c>
      <c r="S32" s="24" t="s">
        <v>34</v>
      </c>
      <c r="T32" s="24"/>
      <c r="U32" s="24"/>
      <c r="V32" s="24"/>
    </row>
    <row r="33" customFormat="false" ht="22.05" hidden="false" customHeight="false" outlineLevel="0" collapsed="false">
      <c r="A33" s="15" t="n">
        <v>28</v>
      </c>
      <c r="B33" s="16" t="s">
        <v>121</v>
      </c>
      <c r="C33" s="17" t="n">
        <v>3</v>
      </c>
      <c r="D33" s="18" t="s">
        <v>19</v>
      </c>
      <c r="E33" s="18" t="s">
        <v>20</v>
      </c>
      <c r="F33" s="19" t="n">
        <v>1</v>
      </c>
      <c r="G33" s="19" t="n">
        <v>2.7</v>
      </c>
      <c r="H33" s="20" t="s">
        <v>107</v>
      </c>
      <c r="I33" s="20" t="s">
        <v>31</v>
      </c>
      <c r="J33" s="21" t="n">
        <v>1923</v>
      </c>
      <c r="K33" s="19" t="n">
        <v>266266</v>
      </c>
      <c r="L33" s="22" t="s">
        <v>122</v>
      </c>
      <c r="M33" s="23" t="s">
        <v>24</v>
      </c>
      <c r="N33" s="22"/>
      <c r="O33" s="20" t="s">
        <v>123</v>
      </c>
      <c r="P33" s="20" t="s">
        <v>28</v>
      </c>
      <c r="Q33" s="18"/>
      <c r="R33" s="24"/>
      <c r="S33" s="24"/>
      <c r="T33" s="24"/>
      <c r="U33" s="24" t="s">
        <v>124</v>
      </c>
      <c r="V33" s="24"/>
    </row>
    <row r="34" customFormat="false" ht="24" hidden="false" customHeight="true" outlineLevel="0" collapsed="false">
      <c r="A34" s="15" t="n">
        <v>29</v>
      </c>
      <c r="B34" s="16" t="s">
        <v>125</v>
      </c>
      <c r="C34" s="17" t="n">
        <v>5</v>
      </c>
      <c r="D34" s="18" t="s">
        <v>19</v>
      </c>
      <c r="E34" s="18" t="s">
        <v>20</v>
      </c>
      <c r="F34" s="19" t="n">
        <v>1</v>
      </c>
      <c r="G34" s="19" t="n">
        <v>4.5</v>
      </c>
      <c r="H34" s="20" t="s">
        <v>107</v>
      </c>
      <c r="I34" s="20" t="s">
        <v>126</v>
      </c>
      <c r="J34" s="21" t="n">
        <v>1937</v>
      </c>
      <c r="K34" s="19" t="n">
        <v>308068</v>
      </c>
      <c r="L34" s="22" t="s">
        <v>127</v>
      </c>
      <c r="M34" s="23" t="s">
        <v>32</v>
      </c>
      <c r="N34" s="29" t="s">
        <v>128</v>
      </c>
      <c r="O34" s="20" t="s">
        <v>26</v>
      </c>
      <c r="P34" s="25" t="s">
        <v>27</v>
      </c>
      <c r="Q34" s="18"/>
      <c r="R34" s="24"/>
      <c r="S34" s="24"/>
      <c r="T34" s="24"/>
      <c r="U34" s="24"/>
      <c r="V34" s="24"/>
    </row>
    <row r="35" customFormat="false" ht="22.05" hidden="false" customHeight="false" outlineLevel="0" collapsed="false">
      <c r="A35" s="15" t="s">
        <v>129</v>
      </c>
      <c r="B35" s="16" t="s">
        <v>125</v>
      </c>
      <c r="C35" s="17"/>
      <c r="D35" s="18" t="s">
        <v>130</v>
      </c>
      <c r="E35" s="18"/>
      <c r="F35" s="28" t="s">
        <v>110</v>
      </c>
      <c r="G35" s="19"/>
      <c r="H35" s="20" t="s">
        <v>107</v>
      </c>
      <c r="I35" s="20" t="s">
        <v>31</v>
      </c>
      <c r="J35" s="21"/>
      <c r="K35" s="19" t="s">
        <v>31</v>
      </c>
      <c r="L35" s="22" t="s">
        <v>131</v>
      </c>
      <c r="M35" s="23"/>
      <c r="N35" s="29"/>
      <c r="O35" s="20" t="s">
        <v>28</v>
      </c>
      <c r="P35" s="20" t="s">
        <v>28</v>
      </c>
      <c r="Q35" s="18"/>
      <c r="R35" s="24" t="s">
        <v>28</v>
      </c>
      <c r="S35" s="24"/>
      <c r="T35" s="24"/>
      <c r="U35" s="24"/>
      <c r="V35" s="24"/>
    </row>
    <row r="36" customFormat="false" ht="24" hidden="false" customHeight="true" outlineLevel="0" collapsed="false">
      <c r="A36" s="15" t="n">
        <v>30</v>
      </c>
      <c r="B36" s="16" t="s">
        <v>132</v>
      </c>
      <c r="C36" s="17" t="n">
        <v>5</v>
      </c>
      <c r="D36" s="18" t="s">
        <v>19</v>
      </c>
      <c r="E36" s="18" t="s">
        <v>20</v>
      </c>
      <c r="F36" s="19" t="n">
        <v>1</v>
      </c>
      <c r="G36" s="19" t="n">
        <v>4.5</v>
      </c>
      <c r="H36" s="20" t="s">
        <v>107</v>
      </c>
      <c r="I36" s="20" t="s">
        <v>126</v>
      </c>
      <c r="J36" s="21" t="n">
        <v>1937</v>
      </c>
      <c r="K36" s="19" t="n">
        <v>308069</v>
      </c>
      <c r="L36" s="22" t="s">
        <v>133</v>
      </c>
      <c r="M36" s="23" t="s">
        <v>41</v>
      </c>
      <c r="N36" s="29" t="s">
        <v>128</v>
      </c>
      <c r="O36" s="20" t="s">
        <v>26</v>
      </c>
      <c r="P36" s="20" t="s">
        <v>27</v>
      </c>
      <c r="Q36" s="18"/>
      <c r="R36" s="24" t="s">
        <v>28</v>
      </c>
      <c r="S36" s="24"/>
      <c r="T36" s="24"/>
      <c r="U36" s="24"/>
      <c r="V36" s="24"/>
    </row>
    <row r="37" customFormat="false" ht="22.05" hidden="false" customHeight="false" outlineLevel="0" collapsed="false">
      <c r="A37" s="15" t="s">
        <v>134</v>
      </c>
      <c r="B37" s="16" t="s">
        <v>132</v>
      </c>
      <c r="C37" s="17"/>
      <c r="D37" s="18" t="s">
        <v>130</v>
      </c>
      <c r="E37" s="18"/>
      <c r="F37" s="28" t="s">
        <v>110</v>
      </c>
      <c r="G37" s="19"/>
      <c r="H37" s="20" t="s">
        <v>107</v>
      </c>
      <c r="I37" s="20" t="s">
        <v>31</v>
      </c>
      <c r="J37" s="21"/>
      <c r="K37" s="19" t="s">
        <v>31</v>
      </c>
      <c r="L37" s="22" t="s">
        <v>131</v>
      </c>
      <c r="M37" s="23"/>
      <c r="N37" s="29"/>
      <c r="O37" s="20" t="s">
        <v>28</v>
      </c>
      <c r="P37" s="25" t="s">
        <v>28</v>
      </c>
      <c r="Q37" s="18" t="s">
        <v>135</v>
      </c>
      <c r="R37" s="24" t="s">
        <v>28</v>
      </c>
      <c r="S37" s="24"/>
      <c r="T37" s="24"/>
      <c r="U37" s="24"/>
      <c r="V37" s="24"/>
    </row>
    <row r="38" customFormat="false" ht="22.05" hidden="false" customHeight="false" outlineLevel="0" collapsed="false">
      <c r="A38" s="15" t="n">
        <v>31</v>
      </c>
      <c r="B38" s="16" t="s">
        <v>136</v>
      </c>
      <c r="C38" s="17" t="n">
        <v>4</v>
      </c>
      <c r="D38" s="18" t="s">
        <v>19</v>
      </c>
      <c r="E38" s="18" t="s">
        <v>20</v>
      </c>
      <c r="F38" s="26" t="n">
        <v>1</v>
      </c>
      <c r="G38" s="19" t="n">
        <v>3.6</v>
      </c>
      <c r="H38" s="20" t="s">
        <v>107</v>
      </c>
      <c r="I38" s="20" t="s">
        <v>31</v>
      </c>
      <c r="J38" s="21" t="n">
        <v>1937</v>
      </c>
      <c r="K38" s="19" t="n">
        <v>308070</v>
      </c>
      <c r="L38" s="22" t="s">
        <v>137</v>
      </c>
      <c r="M38" s="23" t="s">
        <v>32</v>
      </c>
      <c r="N38" s="22"/>
      <c r="O38" s="20" t="s">
        <v>39</v>
      </c>
      <c r="P38" s="20" t="s">
        <v>34</v>
      </c>
      <c r="Q38" s="18"/>
      <c r="R38" s="24" t="s">
        <v>28</v>
      </c>
      <c r="S38" s="24" t="s">
        <v>34</v>
      </c>
      <c r="T38" s="24"/>
      <c r="U38" s="24"/>
      <c r="V38" s="24"/>
    </row>
    <row r="39" customFormat="false" ht="22.05" hidden="false" customHeight="false" outlineLevel="0" collapsed="false">
      <c r="A39" s="15" t="s">
        <v>138</v>
      </c>
      <c r="B39" s="16" t="s">
        <v>136</v>
      </c>
      <c r="C39" s="17"/>
      <c r="D39" s="18" t="s">
        <v>19</v>
      </c>
      <c r="E39" s="18"/>
      <c r="F39" s="28" t="s">
        <v>110</v>
      </c>
      <c r="G39" s="19"/>
      <c r="H39" s="20" t="s">
        <v>107</v>
      </c>
      <c r="I39" s="20" t="s">
        <v>31</v>
      </c>
      <c r="J39" s="21"/>
      <c r="K39" s="19" t="s">
        <v>31</v>
      </c>
      <c r="L39" s="22" t="s">
        <v>131</v>
      </c>
      <c r="M39" s="23"/>
      <c r="N39" s="22"/>
      <c r="O39" s="20" t="s">
        <v>28</v>
      </c>
      <c r="P39" s="25" t="s">
        <v>28</v>
      </c>
      <c r="Q39" s="18" t="s">
        <v>135</v>
      </c>
      <c r="R39" s="24"/>
      <c r="S39" s="24" t="s">
        <v>34</v>
      </c>
      <c r="T39" s="24"/>
      <c r="U39" s="24"/>
      <c r="V39" s="24"/>
    </row>
    <row r="40" customFormat="false" ht="22.05" hidden="false" customHeight="false" outlineLevel="0" collapsed="false">
      <c r="A40" s="15" t="n">
        <v>32</v>
      </c>
      <c r="B40" s="16" t="s">
        <v>139</v>
      </c>
      <c r="C40" s="17" t="n">
        <v>4.5</v>
      </c>
      <c r="D40" s="18" t="s">
        <v>19</v>
      </c>
      <c r="E40" s="18" t="s">
        <v>20</v>
      </c>
      <c r="F40" s="19" t="n">
        <v>1</v>
      </c>
      <c r="G40" s="19" t="n">
        <v>4.05</v>
      </c>
      <c r="H40" s="20" t="s">
        <v>107</v>
      </c>
      <c r="I40" s="20" t="s">
        <v>31</v>
      </c>
      <c r="J40" s="21" t="n">
        <v>2001</v>
      </c>
      <c r="K40" s="19" t="n">
        <v>2033661911</v>
      </c>
      <c r="L40" s="22" t="s">
        <v>140</v>
      </c>
      <c r="M40" s="23" t="s">
        <v>41</v>
      </c>
      <c r="N40" s="22"/>
      <c r="O40" s="20" t="s">
        <v>28</v>
      </c>
      <c r="P40" s="20" t="s">
        <v>34</v>
      </c>
      <c r="Q40" s="18"/>
      <c r="R40" s="24" t="s">
        <v>28</v>
      </c>
      <c r="S40" s="24" t="s">
        <v>34</v>
      </c>
      <c r="T40" s="24"/>
      <c r="U40" s="24"/>
      <c r="V40" s="24"/>
    </row>
    <row r="41" customFormat="false" ht="22.05" hidden="false" customHeight="false" outlineLevel="0" collapsed="false">
      <c r="A41" s="15" t="n">
        <f aca="false">A40+1</f>
        <v>33</v>
      </c>
      <c r="B41" s="16" t="s">
        <v>141</v>
      </c>
      <c r="C41" s="17" t="n">
        <v>6</v>
      </c>
      <c r="D41" s="18" t="s">
        <v>19</v>
      </c>
      <c r="E41" s="18" t="s">
        <v>20</v>
      </c>
      <c r="F41" s="19" t="n">
        <v>1</v>
      </c>
      <c r="G41" s="19" t="n">
        <v>5.4</v>
      </c>
      <c r="H41" s="20" t="s">
        <v>107</v>
      </c>
      <c r="I41" s="20" t="s">
        <v>31</v>
      </c>
      <c r="J41" s="21" t="n">
        <v>2002</v>
      </c>
      <c r="K41" s="19" t="n">
        <v>2033255211</v>
      </c>
      <c r="L41" s="22" t="s">
        <v>140</v>
      </c>
      <c r="M41" s="23" t="s">
        <v>32</v>
      </c>
      <c r="N41" s="22"/>
      <c r="O41" s="20" t="s">
        <v>28</v>
      </c>
      <c r="P41" s="20" t="e">
        <f aca="false">#REF!</f>
        <v>#REF!</v>
      </c>
      <c r="Q41" s="18"/>
      <c r="R41" s="24"/>
      <c r="S41" s="24" t="s">
        <v>34</v>
      </c>
      <c r="T41" s="24"/>
      <c r="U41" s="24"/>
      <c r="V41" s="24"/>
    </row>
    <row r="42" customFormat="false" ht="22.05" hidden="false" customHeight="false" outlineLevel="0" collapsed="false">
      <c r="A42" s="15" t="n">
        <f aca="false">35</f>
        <v>35</v>
      </c>
      <c r="B42" s="16" t="s">
        <v>142</v>
      </c>
      <c r="C42" s="17"/>
      <c r="D42" s="18" t="s">
        <v>19</v>
      </c>
      <c r="E42" s="18"/>
      <c r="F42" s="30" t="s">
        <v>143</v>
      </c>
      <c r="G42" s="19"/>
      <c r="H42" s="20" t="s">
        <v>144</v>
      </c>
      <c r="I42" s="20" t="s">
        <v>31</v>
      </c>
      <c r="J42" s="21"/>
      <c r="K42" s="19" t="s">
        <v>31</v>
      </c>
      <c r="L42" s="22" t="s">
        <v>145</v>
      </c>
      <c r="M42" s="23"/>
      <c r="N42" s="22"/>
      <c r="O42" s="20" t="s">
        <v>28</v>
      </c>
      <c r="P42" s="25" t="s">
        <v>28</v>
      </c>
      <c r="Q42" s="18"/>
      <c r="R42" s="24"/>
      <c r="S42" s="24"/>
      <c r="T42" s="24"/>
      <c r="U42" s="24" t="s">
        <v>34</v>
      </c>
      <c r="V42" s="24"/>
    </row>
    <row r="43" customFormat="false" ht="22.05" hidden="false" customHeight="false" outlineLevel="0" collapsed="false">
      <c r="A43" s="15" t="n">
        <f aca="false">A42+1</f>
        <v>36</v>
      </c>
      <c r="B43" s="16" t="s">
        <v>146</v>
      </c>
      <c r="C43" s="17" t="n">
        <v>3.5</v>
      </c>
      <c r="D43" s="18" t="s">
        <v>19</v>
      </c>
      <c r="E43" s="18" t="s">
        <v>20</v>
      </c>
      <c r="F43" s="26" t="n">
        <v>1</v>
      </c>
      <c r="G43" s="19" t="n">
        <v>3.15</v>
      </c>
      <c r="H43" s="20" t="s">
        <v>147</v>
      </c>
      <c r="I43" s="20" t="s">
        <v>31</v>
      </c>
      <c r="J43" s="21" t="n">
        <v>2003</v>
      </c>
      <c r="K43" s="19" t="n">
        <v>2079791411</v>
      </c>
      <c r="L43" s="22" t="s">
        <v>148</v>
      </c>
      <c r="M43" s="23" t="s">
        <v>32</v>
      </c>
      <c r="N43" s="22"/>
      <c r="O43" s="20" t="s">
        <v>28</v>
      </c>
      <c r="P43" s="20" t="e">
        <f aca="false">#REF!</f>
        <v>#REF!</v>
      </c>
      <c r="Q43" s="18"/>
      <c r="R43" s="24"/>
      <c r="S43" s="24" t="s">
        <v>34</v>
      </c>
      <c r="T43" s="24"/>
      <c r="U43" s="24"/>
      <c r="V43" s="24"/>
    </row>
    <row r="44" customFormat="false" ht="22.05" hidden="false" customHeight="false" outlineLevel="0" collapsed="false">
      <c r="A44" s="15" t="n">
        <f aca="false">A43+1</f>
        <v>37</v>
      </c>
      <c r="B44" s="16" t="s">
        <v>149</v>
      </c>
      <c r="C44" s="17" t="n">
        <v>2</v>
      </c>
      <c r="D44" s="18" t="s">
        <v>19</v>
      </c>
      <c r="E44" s="18" t="s">
        <v>20</v>
      </c>
      <c r="F44" s="19" t="n">
        <v>1</v>
      </c>
      <c r="G44" s="19" t="n">
        <v>1.8</v>
      </c>
      <c r="H44" s="20" t="s">
        <v>147</v>
      </c>
      <c r="I44" s="20" t="s">
        <v>31</v>
      </c>
      <c r="J44" s="21"/>
      <c r="K44" s="19" t="s">
        <v>31</v>
      </c>
      <c r="L44" s="22" t="s">
        <v>150</v>
      </c>
      <c r="M44" s="23" t="s">
        <v>41</v>
      </c>
      <c r="N44" s="22"/>
      <c r="O44" s="20" t="s">
        <v>28</v>
      </c>
      <c r="P44" s="25" t="s">
        <v>28</v>
      </c>
      <c r="Q44" s="18" t="s">
        <v>151</v>
      </c>
      <c r="R44" s="24" t="s">
        <v>28</v>
      </c>
      <c r="S44" s="24"/>
      <c r="T44" s="24"/>
      <c r="U44" s="24"/>
      <c r="V44" s="24"/>
    </row>
    <row r="45" customFormat="false" ht="22.05" hidden="false" customHeight="false" outlineLevel="0" collapsed="false">
      <c r="A45" s="15" t="n">
        <f aca="false">A44+1</f>
        <v>38</v>
      </c>
      <c r="B45" s="16" t="s">
        <v>152</v>
      </c>
      <c r="C45" s="17" t="n">
        <v>3</v>
      </c>
      <c r="D45" s="18" t="s">
        <v>19</v>
      </c>
      <c r="E45" s="18" t="s">
        <v>20</v>
      </c>
      <c r="F45" s="19" t="n">
        <v>1</v>
      </c>
      <c r="G45" s="19" t="n">
        <v>2.7</v>
      </c>
      <c r="H45" s="20" t="s">
        <v>153</v>
      </c>
      <c r="I45" s="20" t="s">
        <v>154</v>
      </c>
      <c r="J45" s="31" t="s">
        <v>155</v>
      </c>
      <c r="K45" s="19" t="s">
        <v>68</v>
      </c>
      <c r="L45" s="22" t="s">
        <v>156</v>
      </c>
      <c r="M45" s="23" t="s">
        <v>41</v>
      </c>
      <c r="N45" s="22" t="s">
        <v>157</v>
      </c>
      <c r="O45" s="20" t="s">
        <v>26</v>
      </c>
      <c r="P45" s="20" t="s">
        <v>27</v>
      </c>
      <c r="Q45" s="18"/>
      <c r="R45" s="24"/>
      <c r="S45" s="24"/>
      <c r="T45" s="24"/>
      <c r="U45" s="24"/>
      <c r="V45" s="24"/>
    </row>
    <row r="46" customFormat="false" ht="22.05" hidden="false" customHeight="false" outlineLevel="0" collapsed="false">
      <c r="A46" s="15" t="n">
        <f aca="false">A45+1</f>
        <v>39</v>
      </c>
      <c r="B46" s="16" t="s">
        <v>158</v>
      </c>
      <c r="C46" s="17" t="n">
        <v>3</v>
      </c>
      <c r="D46" s="18" t="s">
        <v>19</v>
      </c>
      <c r="E46" s="18" t="s">
        <v>20</v>
      </c>
      <c r="F46" s="19" t="n">
        <v>1</v>
      </c>
      <c r="G46" s="19" t="n">
        <v>2.7</v>
      </c>
      <c r="H46" s="20" t="s">
        <v>159</v>
      </c>
      <c r="I46" s="20" t="s">
        <v>31</v>
      </c>
      <c r="J46" s="21" t="n">
        <v>2003</v>
      </c>
      <c r="K46" s="19" t="n">
        <v>2079797611</v>
      </c>
      <c r="L46" s="22" t="s">
        <v>160</v>
      </c>
      <c r="M46" s="23" t="s">
        <v>32</v>
      </c>
      <c r="N46" s="22" t="s">
        <v>161</v>
      </c>
      <c r="O46" s="20" t="s">
        <v>72</v>
      </c>
      <c r="P46" s="20" t="s">
        <v>28</v>
      </c>
      <c r="Q46" s="18"/>
      <c r="R46" s="24" t="s">
        <v>28</v>
      </c>
      <c r="S46" s="24" t="s">
        <v>34</v>
      </c>
      <c r="T46" s="24"/>
      <c r="U46" s="24"/>
      <c r="V46" s="24"/>
    </row>
    <row r="47" customFormat="false" ht="22.05" hidden="false" customHeight="false" outlineLevel="0" collapsed="false">
      <c r="A47" s="15" t="s">
        <v>162</v>
      </c>
      <c r="B47" s="16" t="s">
        <v>158</v>
      </c>
      <c r="C47" s="17" t="n">
        <v>3</v>
      </c>
      <c r="D47" s="18" t="s">
        <v>19</v>
      </c>
      <c r="E47" s="18" t="s">
        <v>163</v>
      </c>
      <c r="F47" s="28" t="s">
        <v>164</v>
      </c>
      <c r="G47" s="19" t="n">
        <v>2.7</v>
      </c>
      <c r="H47" s="20" t="s">
        <v>159</v>
      </c>
      <c r="I47" s="20" t="s">
        <v>31</v>
      </c>
      <c r="J47" s="21"/>
      <c r="K47" s="19" t="s">
        <v>31</v>
      </c>
      <c r="L47" s="22" t="s">
        <v>160</v>
      </c>
      <c r="M47" s="23" t="s">
        <v>32</v>
      </c>
      <c r="N47" s="22" t="s">
        <v>165</v>
      </c>
      <c r="O47" s="20" t="s">
        <v>62</v>
      </c>
      <c r="P47" s="25" t="s">
        <v>28</v>
      </c>
      <c r="Q47" s="18"/>
      <c r="R47" s="24" t="s">
        <v>166</v>
      </c>
      <c r="S47" s="24"/>
      <c r="T47" s="24"/>
      <c r="U47" s="24"/>
      <c r="V47" s="24"/>
    </row>
    <row r="48" customFormat="false" ht="22.05" hidden="false" customHeight="false" outlineLevel="0" collapsed="false">
      <c r="A48" s="15" t="n">
        <f aca="false">A46+1</f>
        <v>40</v>
      </c>
      <c r="B48" s="16" t="s">
        <v>167</v>
      </c>
      <c r="C48" s="17" t="n">
        <v>2.5</v>
      </c>
      <c r="D48" s="18" t="s">
        <v>19</v>
      </c>
      <c r="E48" s="18" t="s">
        <v>20</v>
      </c>
      <c r="F48" s="26" t="n">
        <v>1</v>
      </c>
      <c r="G48" s="19" t="n">
        <v>2.25</v>
      </c>
      <c r="H48" s="20" t="s">
        <v>168</v>
      </c>
      <c r="I48" s="20" t="s">
        <v>31</v>
      </c>
      <c r="J48" s="21" t="n">
        <v>2002</v>
      </c>
      <c r="K48" s="19" t="n">
        <v>9971437311</v>
      </c>
      <c r="L48" s="22" t="s">
        <v>169</v>
      </c>
      <c r="M48" s="23" t="s">
        <v>32</v>
      </c>
      <c r="N48" s="22"/>
      <c r="O48" s="20" t="s">
        <v>28</v>
      </c>
      <c r="P48" s="20" t="s">
        <v>34</v>
      </c>
      <c r="Q48" s="18"/>
      <c r="R48" s="24" t="s">
        <v>28</v>
      </c>
      <c r="S48" s="24" t="s">
        <v>34</v>
      </c>
      <c r="T48" s="24"/>
      <c r="U48" s="24"/>
      <c r="V48" s="24"/>
    </row>
    <row r="49" customFormat="false" ht="22.05" hidden="false" customHeight="false" outlineLevel="0" collapsed="false">
      <c r="A49" s="15" t="n">
        <f aca="false">A48+1</f>
        <v>41</v>
      </c>
      <c r="B49" s="16" t="s">
        <v>170</v>
      </c>
      <c r="C49" s="17" t="n">
        <v>2.5</v>
      </c>
      <c r="D49" s="18" t="s">
        <v>19</v>
      </c>
      <c r="E49" s="18" t="s">
        <v>20</v>
      </c>
      <c r="F49" s="19" t="n">
        <v>1</v>
      </c>
      <c r="G49" s="19" t="n">
        <v>2.25</v>
      </c>
      <c r="H49" s="20" t="s">
        <v>171</v>
      </c>
      <c r="I49" s="20" t="s">
        <v>31</v>
      </c>
      <c r="J49" s="21" t="n">
        <v>2002</v>
      </c>
      <c r="K49" s="19" t="n">
        <v>9971437411</v>
      </c>
      <c r="L49" s="22" t="s">
        <v>172</v>
      </c>
      <c r="M49" s="23" t="s">
        <v>41</v>
      </c>
      <c r="N49" s="22"/>
      <c r="O49" s="20" t="s">
        <v>39</v>
      </c>
      <c r="P49" s="25" t="s">
        <v>34</v>
      </c>
      <c r="Q49" s="18"/>
      <c r="R49" s="24" t="s">
        <v>28</v>
      </c>
      <c r="S49" s="24" t="s">
        <v>34</v>
      </c>
      <c r="T49" s="24"/>
      <c r="U49" s="24"/>
      <c r="V49" s="24"/>
    </row>
    <row r="50" customFormat="false" ht="22.05" hidden="false" customHeight="false" outlineLevel="0" collapsed="false">
      <c r="A50" s="15" t="n">
        <f aca="false">A49+1</f>
        <v>42</v>
      </c>
      <c r="B50" s="16" t="s">
        <v>173</v>
      </c>
      <c r="C50" s="17" t="n">
        <v>6</v>
      </c>
      <c r="D50" s="18" t="s">
        <v>19</v>
      </c>
      <c r="E50" s="18" t="s">
        <v>20</v>
      </c>
      <c r="F50" s="19" t="n">
        <v>1</v>
      </c>
      <c r="G50" s="19" t="n">
        <v>5.4</v>
      </c>
      <c r="H50" s="20" t="s">
        <v>174</v>
      </c>
      <c r="I50" s="20" t="s">
        <v>31</v>
      </c>
      <c r="J50" s="21" t="n">
        <v>2002</v>
      </c>
      <c r="K50" s="19" t="n">
        <v>2039288111</v>
      </c>
      <c r="L50" s="22" t="s">
        <v>175</v>
      </c>
      <c r="M50" s="23" t="s">
        <v>32</v>
      </c>
      <c r="N50" s="22"/>
      <c r="O50" s="20" t="s">
        <v>39</v>
      </c>
      <c r="P50" s="20" t="s">
        <v>34</v>
      </c>
      <c r="Q50" s="18"/>
      <c r="R50" s="24" t="s">
        <v>28</v>
      </c>
      <c r="S50" s="24" t="s">
        <v>34</v>
      </c>
      <c r="T50" s="24"/>
      <c r="U50" s="24"/>
      <c r="V50" s="24"/>
    </row>
    <row r="51" customFormat="false" ht="22.05" hidden="false" customHeight="false" outlineLevel="0" collapsed="false">
      <c r="A51" s="15" t="n">
        <f aca="false">A50+1</f>
        <v>43</v>
      </c>
      <c r="B51" s="16" t="s">
        <v>173</v>
      </c>
      <c r="C51" s="17"/>
      <c r="D51" s="18" t="s">
        <v>130</v>
      </c>
      <c r="E51" s="18"/>
      <c r="F51" s="28" t="s">
        <v>110</v>
      </c>
      <c r="G51" s="19"/>
      <c r="H51" s="20" t="s">
        <v>174</v>
      </c>
      <c r="I51" s="20" t="s">
        <v>31</v>
      </c>
      <c r="J51" s="21"/>
      <c r="K51" s="19" t="s">
        <v>31</v>
      </c>
      <c r="L51" s="22" t="s">
        <v>176</v>
      </c>
      <c r="M51" s="23"/>
      <c r="N51" s="22"/>
      <c r="O51" s="20" t="s">
        <v>28</v>
      </c>
      <c r="P51" s="20" t="s">
        <v>28</v>
      </c>
      <c r="Q51" s="18"/>
      <c r="R51" s="24" t="s">
        <v>28</v>
      </c>
      <c r="S51" s="24" t="s">
        <v>34</v>
      </c>
      <c r="T51" s="24"/>
      <c r="U51" s="24"/>
      <c r="V51" s="24"/>
    </row>
    <row r="52" customFormat="false" ht="22.05" hidden="false" customHeight="false" outlineLevel="0" collapsed="false">
      <c r="A52" s="15" t="n">
        <f aca="false">A51+1</f>
        <v>44</v>
      </c>
      <c r="B52" s="16" t="s">
        <v>177</v>
      </c>
      <c r="C52" s="17" t="n">
        <v>4</v>
      </c>
      <c r="D52" s="18" t="s">
        <v>19</v>
      </c>
      <c r="E52" s="18" t="s">
        <v>20</v>
      </c>
      <c r="F52" s="19" t="n">
        <v>1</v>
      </c>
      <c r="G52" s="19" t="n">
        <v>3.6</v>
      </c>
      <c r="H52" s="20" t="s">
        <v>174</v>
      </c>
      <c r="I52" s="20" t="s">
        <v>31</v>
      </c>
      <c r="J52" s="21" t="n">
        <v>2003</v>
      </c>
      <c r="K52" s="19" t="n">
        <v>2055079311</v>
      </c>
      <c r="L52" s="22" t="s">
        <v>178</v>
      </c>
      <c r="M52" s="23" t="s">
        <v>179</v>
      </c>
      <c r="N52" s="22"/>
      <c r="O52" s="20" t="s">
        <v>28</v>
      </c>
      <c r="P52" s="25" t="e">
        <f aca="false">#REF!</f>
        <v>#REF!</v>
      </c>
      <c r="Q52" s="18" t="s">
        <v>180</v>
      </c>
      <c r="R52" s="24" t="s">
        <v>28</v>
      </c>
      <c r="S52" s="24" t="s">
        <v>34</v>
      </c>
      <c r="T52" s="24"/>
      <c r="U52" s="24"/>
      <c r="V52" s="24"/>
    </row>
    <row r="53" customFormat="false" ht="22.05" hidden="false" customHeight="false" outlineLevel="0" collapsed="false">
      <c r="A53" s="15" t="n">
        <f aca="false">A52+1</f>
        <v>45</v>
      </c>
      <c r="B53" s="16" t="s">
        <v>181</v>
      </c>
      <c r="C53" s="17" t="n">
        <v>4.5</v>
      </c>
      <c r="D53" s="18" t="s">
        <v>19</v>
      </c>
      <c r="E53" s="18" t="s">
        <v>20</v>
      </c>
      <c r="F53" s="26" t="n">
        <v>1</v>
      </c>
      <c r="G53" s="19" t="n">
        <v>4.05</v>
      </c>
      <c r="H53" s="20" t="s">
        <v>174</v>
      </c>
      <c r="I53" s="20" t="s">
        <v>31</v>
      </c>
      <c r="J53" s="21"/>
      <c r="K53" s="26" t="n">
        <v>2039289711</v>
      </c>
      <c r="L53" s="22" t="s">
        <v>182</v>
      </c>
      <c r="M53" s="23" t="s">
        <v>32</v>
      </c>
      <c r="N53" s="22"/>
      <c r="O53" s="20" t="s">
        <v>28</v>
      </c>
      <c r="P53" s="20" t="s">
        <v>28</v>
      </c>
      <c r="Q53" s="18"/>
      <c r="R53" s="24" t="s">
        <v>28</v>
      </c>
      <c r="S53" s="24"/>
      <c r="T53" s="24"/>
      <c r="U53" s="24"/>
      <c r="V53" s="24"/>
    </row>
    <row r="54" customFormat="false" ht="22.05" hidden="false" customHeight="false" outlineLevel="0" collapsed="false">
      <c r="A54" s="15" t="n">
        <f aca="false">A53+1</f>
        <v>46</v>
      </c>
      <c r="B54" s="16" t="s">
        <v>183</v>
      </c>
      <c r="C54" s="17" t="n">
        <v>5</v>
      </c>
      <c r="D54" s="18" t="s">
        <v>19</v>
      </c>
      <c r="E54" s="18" t="s">
        <v>20</v>
      </c>
      <c r="F54" s="19" t="n">
        <v>1</v>
      </c>
      <c r="G54" s="19" t="n">
        <v>4.5</v>
      </c>
      <c r="H54" s="20" t="s">
        <v>174</v>
      </c>
      <c r="I54" s="20" t="s">
        <v>31</v>
      </c>
      <c r="J54" s="21" t="n">
        <v>2001</v>
      </c>
      <c r="K54" s="26" t="n">
        <v>2037700611</v>
      </c>
      <c r="L54" s="22" t="s">
        <v>184</v>
      </c>
      <c r="M54" s="23" t="s">
        <v>32</v>
      </c>
      <c r="N54" s="22"/>
      <c r="O54" s="20" t="s">
        <v>39</v>
      </c>
      <c r="P54" s="25" t="s">
        <v>34</v>
      </c>
      <c r="Q54" s="18"/>
      <c r="R54" s="24" t="s">
        <v>28</v>
      </c>
      <c r="S54" s="24" t="s">
        <v>34</v>
      </c>
      <c r="T54" s="24"/>
      <c r="U54" s="24"/>
      <c r="V54" s="24"/>
    </row>
    <row r="55" customFormat="false" ht="22.05" hidden="false" customHeight="false" outlineLevel="0" collapsed="false">
      <c r="A55" s="15" t="n">
        <f aca="false">A54+1</f>
        <v>47</v>
      </c>
      <c r="B55" s="16" t="s">
        <v>185</v>
      </c>
      <c r="C55" s="17" t="n">
        <v>6</v>
      </c>
      <c r="D55" s="18" t="s">
        <v>19</v>
      </c>
      <c r="E55" s="18" t="s">
        <v>20</v>
      </c>
      <c r="F55" s="19" t="n">
        <v>1</v>
      </c>
      <c r="G55" s="19" t="n">
        <v>5.4</v>
      </c>
      <c r="H55" s="20" t="s">
        <v>174</v>
      </c>
      <c r="I55" s="20" t="s">
        <v>31</v>
      </c>
      <c r="J55" s="21" t="n">
        <v>2001</v>
      </c>
      <c r="K55" s="26" t="n">
        <v>2039290211</v>
      </c>
      <c r="L55" s="22" t="s">
        <v>186</v>
      </c>
      <c r="M55" s="23" t="s">
        <v>32</v>
      </c>
      <c r="N55" s="22"/>
      <c r="O55" s="20" t="s">
        <v>39</v>
      </c>
      <c r="P55" s="20" t="s">
        <v>34</v>
      </c>
      <c r="Q55" s="18"/>
      <c r="R55" s="24" t="s">
        <v>28</v>
      </c>
      <c r="S55" s="24" t="s">
        <v>34</v>
      </c>
      <c r="T55" s="24"/>
      <c r="U55" s="24"/>
      <c r="V55" s="24"/>
    </row>
    <row r="56" customFormat="false" ht="22.05" hidden="false" customHeight="false" outlineLevel="0" collapsed="false">
      <c r="A56" s="15" t="n">
        <f aca="false">A55+1</f>
        <v>48</v>
      </c>
      <c r="B56" s="16" t="s">
        <v>187</v>
      </c>
      <c r="C56" s="17" t="n">
        <v>4</v>
      </c>
      <c r="D56" s="18" t="s">
        <v>19</v>
      </c>
      <c r="E56" s="18" t="s">
        <v>20</v>
      </c>
      <c r="F56" s="19" t="n">
        <v>1</v>
      </c>
      <c r="G56" s="19" t="n">
        <v>3.6</v>
      </c>
      <c r="H56" s="20" t="s">
        <v>174</v>
      </c>
      <c r="I56" s="20" t="s">
        <v>57</v>
      </c>
      <c r="J56" s="21" t="n">
        <v>1916</v>
      </c>
      <c r="K56" s="19" t="n">
        <v>201721</v>
      </c>
      <c r="L56" s="22" t="s">
        <v>188</v>
      </c>
      <c r="M56" s="23" t="s">
        <v>179</v>
      </c>
      <c r="N56" s="22" t="s">
        <v>59</v>
      </c>
      <c r="O56" s="20" t="s">
        <v>26</v>
      </c>
      <c r="P56" s="20" t="s">
        <v>27</v>
      </c>
      <c r="Q56" s="18"/>
      <c r="R56" s="24" t="s">
        <v>28</v>
      </c>
      <c r="S56" s="24"/>
      <c r="T56" s="24"/>
      <c r="U56" s="24"/>
      <c r="V56" s="24"/>
    </row>
    <row r="57" customFormat="false" ht="22.05" hidden="false" customHeight="false" outlineLevel="0" collapsed="false">
      <c r="A57" s="15" t="n">
        <f aca="false">A56+1</f>
        <v>49</v>
      </c>
      <c r="B57" s="16" t="s">
        <v>189</v>
      </c>
      <c r="C57" s="17"/>
      <c r="D57" s="18" t="s">
        <v>19</v>
      </c>
      <c r="E57" s="18" t="s">
        <v>20</v>
      </c>
      <c r="F57" s="19" t="n">
        <v>1</v>
      </c>
      <c r="G57" s="19" t="n">
        <v>2</v>
      </c>
      <c r="H57" s="20" t="s">
        <v>190</v>
      </c>
      <c r="I57" s="20" t="s">
        <v>57</v>
      </c>
      <c r="J57" s="21" t="n">
        <v>1916</v>
      </c>
      <c r="K57" s="19" t="n">
        <v>201719</v>
      </c>
      <c r="L57" s="22" t="s">
        <v>191</v>
      </c>
      <c r="M57" s="23" t="s">
        <v>24</v>
      </c>
      <c r="N57" s="22" t="s">
        <v>59</v>
      </c>
      <c r="O57" s="20" t="s">
        <v>26</v>
      </c>
      <c r="P57" s="25" t="s">
        <v>27</v>
      </c>
      <c r="Q57" s="18"/>
      <c r="R57" s="24"/>
      <c r="S57" s="24"/>
      <c r="T57" s="24"/>
      <c r="U57" s="24" t="s">
        <v>34</v>
      </c>
      <c r="V57" s="24"/>
    </row>
    <row r="58" customFormat="false" ht="22.05" hidden="false" customHeight="false" outlineLevel="0" collapsed="false">
      <c r="A58" s="15" t="n">
        <f aca="false">A57+1</f>
        <v>50</v>
      </c>
      <c r="B58" s="16" t="s">
        <v>192</v>
      </c>
      <c r="C58" s="17" t="n">
        <v>2.5</v>
      </c>
      <c r="D58" s="18" t="s">
        <v>19</v>
      </c>
      <c r="E58" s="18" t="s">
        <v>20</v>
      </c>
      <c r="F58" s="26" t="n">
        <v>1</v>
      </c>
      <c r="G58" s="19" t="n">
        <v>3</v>
      </c>
      <c r="H58" s="20" t="s">
        <v>190</v>
      </c>
      <c r="I58" s="20" t="s">
        <v>31</v>
      </c>
      <c r="J58" s="21" t="n">
        <v>2002</v>
      </c>
      <c r="K58" s="19" t="n">
        <v>997143711</v>
      </c>
      <c r="L58" s="22" t="s">
        <v>193</v>
      </c>
      <c r="M58" s="23" t="s">
        <v>41</v>
      </c>
      <c r="N58" s="22"/>
      <c r="O58" s="20" t="s">
        <v>28</v>
      </c>
      <c r="P58" s="20" t="s">
        <v>34</v>
      </c>
      <c r="Q58" s="18"/>
      <c r="R58" s="24" t="s">
        <v>27</v>
      </c>
      <c r="S58" s="24"/>
      <c r="T58" s="24"/>
      <c r="U58" s="24"/>
      <c r="V58" s="24"/>
    </row>
    <row r="59" customFormat="false" ht="22.05" hidden="false" customHeight="false" outlineLevel="0" collapsed="false">
      <c r="A59" s="15" t="n">
        <f aca="false">A58+1</f>
        <v>51</v>
      </c>
      <c r="B59" s="16" t="s">
        <v>194</v>
      </c>
      <c r="C59" s="17"/>
      <c r="D59" s="18" t="s">
        <v>19</v>
      </c>
      <c r="E59" s="18" t="s">
        <v>20</v>
      </c>
      <c r="F59" s="19" t="n">
        <v>1</v>
      </c>
      <c r="G59" s="19" t="n">
        <v>2</v>
      </c>
      <c r="H59" s="20" t="s">
        <v>195</v>
      </c>
      <c r="I59" s="20" t="s">
        <v>22</v>
      </c>
      <c r="J59" s="21" t="n">
        <v>1916</v>
      </c>
      <c r="K59" s="19" t="n">
        <v>201951</v>
      </c>
      <c r="L59" s="22" t="s">
        <v>196</v>
      </c>
      <c r="M59" s="23" t="s">
        <v>41</v>
      </c>
      <c r="N59" s="22" t="s">
        <v>25</v>
      </c>
      <c r="O59" s="20" t="s">
        <v>27</v>
      </c>
      <c r="P59" s="25" t="s">
        <v>27</v>
      </c>
      <c r="Q59" s="22"/>
      <c r="R59" s="24" t="s">
        <v>28</v>
      </c>
      <c r="S59" s="24" t="s">
        <v>34</v>
      </c>
      <c r="T59" s="25"/>
      <c r="U59" s="19"/>
      <c r="V59" s="32"/>
      <c r="W59" s="33"/>
      <c r="X59" s="33"/>
      <c r="Y59" s="34"/>
      <c r="Z59" s="35"/>
      <c r="AA59" s="36"/>
      <c r="AB59" s="36"/>
    </row>
    <row r="60" customFormat="false" ht="22.05" hidden="false" customHeight="false" outlineLevel="0" collapsed="false">
      <c r="A60" s="15" t="n">
        <f aca="false">A59+1</f>
        <v>52</v>
      </c>
      <c r="B60" s="16" t="s">
        <v>197</v>
      </c>
      <c r="C60" s="17" t="n">
        <v>2.5</v>
      </c>
      <c r="D60" s="18" t="s">
        <v>19</v>
      </c>
      <c r="E60" s="18" t="s">
        <v>20</v>
      </c>
      <c r="F60" s="19" t="n">
        <v>1</v>
      </c>
      <c r="G60" s="19" t="n">
        <v>2.25</v>
      </c>
      <c r="H60" s="20" t="s">
        <v>195</v>
      </c>
      <c r="I60" s="20" t="s">
        <v>31</v>
      </c>
      <c r="J60" s="21" t="n">
        <v>2003</v>
      </c>
      <c r="K60" s="19" t="n">
        <v>2079799711</v>
      </c>
      <c r="L60" s="22" t="s">
        <v>198</v>
      </c>
      <c r="M60" s="23" t="s">
        <v>24</v>
      </c>
      <c r="N60" s="22"/>
      <c r="O60" s="20" t="s">
        <v>28</v>
      </c>
      <c r="P60" s="20" t="e">
        <f aca="false">#REF!</f>
        <v>#REF!</v>
      </c>
      <c r="Q60" s="22"/>
      <c r="R60" s="24" t="s">
        <v>28</v>
      </c>
      <c r="S60" s="24" t="s">
        <v>34</v>
      </c>
      <c r="T60" s="20"/>
      <c r="U60" s="19"/>
      <c r="V60" s="25"/>
      <c r="W60" s="33"/>
      <c r="X60" s="33"/>
      <c r="Y60" s="34"/>
      <c r="Z60" s="35"/>
      <c r="AA60" s="36"/>
      <c r="AB60" s="36"/>
    </row>
    <row r="61" customFormat="false" ht="22.05" hidden="false" customHeight="false" outlineLevel="0" collapsed="false">
      <c r="A61" s="15" t="n">
        <f aca="false">A60+2</f>
        <v>54</v>
      </c>
      <c r="B61" s="16" t="s">
        <v>199</v>
      </c>
      <c r="C61" s="17" t="n">
        <v>2</v>
      </c>
      <c r="D61" s="18" t="s">
        <v>19</v>
      </c>
      <c r="E61" s="18" t="s">
        <v>20</v>
      </c>
      <c r="F61" s="19" t="n">
        <v>1</v>
      </c>
      <c r="G61" s="19" t="n">
        <v>1.8</v>
      </c>
      <c r="H61" s="20" t="s">
        <v>87</v>
      </c>
      <c r="I61" s="20" t="s">
        <v>31</v>
      </c>
      <c r="J61" s="21"/>
      <c r="K61" s="19" t="s">
        <v>31</v>
      </c>
      <c r="L61" s="22" t="s">
        <v>200</v>
      </c>
      <c r="M61" s="23" t="s">
        <v>179</v>
      </c>
      <c r="N61" s="22"/>
      <c r="O61" s="20" t="s">
        <v>28</v>
      </c>
      <c r="P61" s="20" t="e">
        <f aca="false">#REF!</f>
        <v>#REF!</v>
      </c>
      <c r="Q61" s="22"/>
      <c r="R61" s="24" t="s">
        <v>28</v>
      </c>
      <c r="S61" s="24" t="s">
        <v>34</v>
      </c>
      <c r="T61" s="20"/>
      <c r="U61" s="19"/>
      <c r="V61" s="25"/>
      <c r="W61" s="33"/>
      <c r="X61" s="33"/>
      <c r="Y61" s="34"/>
      <c r="Z61" s="35"/>
      <c r="AA61" s="36"/>
      <c r="AB61" s="36"/>
    </row>
    <row r="62" customFormat="false" ht="22.05" hidden="false" customHeight="false" outlineLevel="0" collapsed="false">
      <c r="A62" s="15" t="n">
        <f aca="false">A61+1</f>
        <v>55</v>
      </c>
      <c r="B62" s="16" t="s">
        <v>201</v>
      </c>
      <c r="C62" s="17" t="n">
        <v>2</v>
      </c>
      <c r="D62" s="18" t="s">
        <v>19</v>
      </c>
      <c r="E62" s="18" t="s">
        <v>20</v>
      </c>
      <c r="F62" s="19" t="n">
        <v>1</v>
      </c>
      <c r="G62" s="19" t="n">
        <v>1.8</v>
      </c>
      <c r="H62" s="20" t="s">
        <v>159</v>
      </c>
      <c r="I62" s="20" t="s">
        <v>31</v>
      </c>
      <c r="J62" s="21" t="n">
        <v>1919</v>
      </c>
      <c r="K62" s="19" t="n">
        <v>223715</v>
      </c>
      <c r="L62" s="22" t="s">
        <v>202</v>
      </c>
      <c r="M62" s="23" t="s">
        <v>179</v>
      </c>
      <c r="N62" s="22"/>
      <c r="O62" s="20" t="s">
        <v>28</v>
      </c>
      <c r="P62" s="25" t="e">
        <f aca="false">#REF!</f>
        <v>#REF!</v>
      </c>
      <c r="Q62" s="22"/>
      <c r="R62" s="20"/>
      <c r="S62" s="20"/>
      <c r="T62" s="25"/>
      <c r="U62" s="19" t="s">
        <v>124</v>
      </c>
      <c r="V62" s="32"/>
      <c r="W62" s="33"/>
      <c r="X62" s="33"/>
      <c r="Y62" s="34"/>
      <c r="Z62" s="35"/>
      <c r="AA62" s="36"/>
      <c r="AB62" s="36"/>
    </row>
    <row r="63" customFormat="false" ht="22.05" hidden="false" customHeight="false" outlineLevel="0" collapsed="false">
      <c r="A63" s="15" t="n">
        <f aca="false">A62+1</f>
        <v>56</v>
      </c>
      <c r="B63" s="16" t="s">
        <v>203</v>
      </c>
      <c r="C63" s="17" t="n">
        <v>3</v>
      </c>
      <c r="D63" s="18" t="s">
        <v>19</v>
      </c>
      <c r="E63" s="18" t="s">
        <v>20</v>
      </c>
      <c r="F63" s="26" t="n">
        <v>1</v>
      </c>
      <c r="G63" s="19" t="n">
        <v>2.7</v>
      </c>
      <c r="H63" s="20" t="s">
        <v>204</v>
      </c>
      <c r="I63" s="20" t="s">
        <v>31</v>
      </c>
      <c r="J63" s="21" t="n">
        <v>2002</v>
      </c>
      <c r="K63" s="19" t="n">
        <v>9971437211</v>
      </c>
      <c r="L63" s="22"/>
      <c r="M63" s="23" t="s">
        <v>179</v>
      </c>
      <c r="N63" s="22"/>
      <c r="O63" s="20" t="s">
        <v>28</v>
      </c>
      <c r="P63" s="20" t="s">
        <v>28</v>
      </c>
      <c r="Q63" s="22"/>
      <c r="R63" s="20" t="s">
        <v>28</v>
      </c>
      <c r="S63" s="20"/>
      <c r="T63" s="20"/>
      <c r="U63" s="25"/>
      <c r="V63" s="32"/>
      <c r="W63" s="33"/>
      <c r="X63" s="33"/>
      <c r="Y63" s="34"/>
      <c r="Z63" s="35"/>
      <c r="AA63" s="36"/>
      <c r="AB63" s="36"/>
    </row>
    <row r="64" customFormat="false" ht="22.05" hidden="false" customHeight="false" outlineLevel="0" collapsed="false">
      <c r="A64" s="15" t="n">
        <f aca="false">A63+1</f>
        <v>57</v>
      </c>
      <c r="B64" s="16" t="s">
        <v>205</v>
      </c>
      <c r="C64" s="17" t="n">
        <v>5</v>
      </c>
      <c r="D64" s="18" t="s">
        <v>19</v>
      </c>
      <c r="E64" s="18" t="s">
        <v>20</v>
      </c>
      <c r="F64" s="19" t="n">
        <v>1</v>
      </c>
      <c r="G64" s="19" t="n">
        <v>4.5</v>
      </c>
      <c r="H64" s="20" t="s">
        <v>206</v>
      </c>
      <c r="I64" s="20" t="s">
        <v>31</v>
      </c>
      <c r="J64" s="21" t="n">
        <v>2002</v>
      </c>
      <c r="K64" s="19" t="n">
        <v>2026627611</v>
      </c>
      <c r="L64" s="22" t="s">
        <v>198</v>
      </c>
      <c r="M64" s="23" t="s">
        <v>24</v>
      </c>
      <c r="N64" s="22"/>
      <c r="O64" s="20" t="s">
        <v>28</v>
      </c>
      <c r="P64" s="25" t="s">
        <v>34</v>
      </c>
      <c r="Q64" s="18"/>
      <c r="R64" s="24" t="s">
        <v>28</v>
      </c>
      <c r="S64" s="24" t="s">
        <v>34</v>
      </c>
      <c r="T64" s="24"/>
      <c r="U64" s="24"/>
      <c r="V64" s="24"/>
    </row>
    <row r="65" customFormat="false" ht="22.05" hidden="false" customHeight="false" outlineLevel="0" collapsed="false">
      <c r="A65" s="15" t="n">
        <f aca="false">A64+1</f>
        <v>58</v>
      </c>
      <c r="B65" s="16" t="s">
        <v>207</v>
      </c>
      <c r="C65" s="17" t="n">
        <v>3</v>
      </c>
      <c r="D65" s="18" t="s">
        <v>19</v>
      </c>
      <c r="E65" s="18" t="s">
        <v>20</v>
      </c>
      <c r="F65" s="26" t="n">
        <v>1</v>
      </c>
      <c r="G65" s="19" t="n">
        <v>2.7</v>
      </c>
      <c r="H65" s="20" t="s">
        <v>208</v>
      </c>
      <c r="I65" s="20" t="s">
        <v>31</v>
      </c>
      <c r="J65" s="21" t="n">
        <v>2003</v>
      </c>
      <c r="K65" s="19" t="n">
        <v>2079802311</v>
      </c>
      <c r="L65" s="22" t="s">
        <v>198</v>
      </c>
      <c r="M65" s="23" t="s">
        <v>32</v>
      </c>
      <c r="N65" s="22"/>
      <c r="O65" s="20" t="s">
        <v>28</v>
      </c>
      <c r="P65" s="20" t="s">
        <v>28</v>
      </c>
      <c r="Q65" s="18"/>
      <c r="R65" s="24" t="s">
        <v>28</v>
      </c>
      <c r="S65" s="24" t="s">
        <v>34</v>
      </c>
      <c r="T65" s="24"/>
      <c r="U65" s="24"/>
      <c r="V65" s="24"/>
    </row>
    <row r="66" customFormat="false" ht="75.35" hidden="false" customHeight="false" outlineLevel="0" collapsed="false">
      <c r="A66" s="37" t="n">
        <v>61</v>
      </c>
      <c r="B66" s="38" t="s">
        <v>209</v>
      </c>
      <c r="C66" s="39" t="n">
        <v>2</v>
      </c>
      <c r="D66" s="38" t="s">
        <v>210</v>
      </c>
      <c r="E66" s="38" t="s">
        <v>211</v>
      </c>
      <c r="F66" s="40"/>
      <c r="G66" s="39" t="s">
        <v>212</v>
      </c>
      <c r="H66" s="40"/>
      <c r="I66" s="41"/>
      <c r="J66" s="39" t="n">
        <v>1916</v>
      </c>
      <c r="K66" s="39" t="n">
        <v>201721</v>
      </c>
      <c r="L66" s="40"/>
      <c r="M66" s="40"/>
      <c r="N66" s="39" t="s">
        <v>57</v>
      </c>
      <c r="O66" s="39" t="s">
        <v>27</v>
      </c>
      <c r="P66" s="40"/>
      <c r="Q66" s="38" t="s">
        <v>213</v>
      </c>
      <c r="R66" s="42"/>
      <c r="S66" s="42"/>
      <c r="T66" s="42"/>
      <c r="U66" s="42"/>
      <c r="V66" s="42"/>
    </row>
    <row r="67" customFormat="false" ht="22.05" hidden="false" customHeight="false" outlineLevel="0" collapsed="false">
      <c r="A67" s="37" t="n">
        <v>63</v>
      </c>
      <c r="B67" s="38"/>
      <c r="C67" s="39"/>
      <c r="D67" s="38"/>
      <c r="E67" s="38"/>
      <c r="F67" s="40"/>
      <c r="G67" s="39"/>
      <c r="H67" s="40"/>
      <c r="I67" s="41"/>
      <c r="J67" s="39"/>
      <c r="K67" s="39"/>
      <c r="L67" s="40"/>
      <c r="M67" s="40"/>
      <c r="N67" s="39"/>
      <c r="O67" s="39"/>
      <c r="P67" s="40"/>
      <c r="Q67" s="38"/>
      <c r="R67" s="42"/>
      <c r="S67" s="42"/>
      <c r="T67" s="42"/>
      <c r="U67" s="42"/>
      <c r="V67" s="42"/>
    </row>
    <row r="68" customFormat="false" ht="50.7" hidden="false" customHeight="false" outlineLevel="0" collapsed="false">
      <c r="A68" s="37" t="n">
        <f aca="false">64</f>
        <v>64</v>
      </c>
      <c r="B68" s="43" t="s">
        <v>214</v>
      </c>
      <c r="C68" s="39" t="n">
        <v>4</v>
      </c>
      <c r="D68" s="38" t="s">
        <v>210</v>
      </c>
      <c r="E68" s="38" t="s">
        <v>211</v>
      </c>
      <c r="F68" s="40"/>
      <c r="G68" s="39" t="s">
        <v>215</v>
      </c>
      <c r="H68" s="40"/>
      <c r="I68" s="41"/>
      <c r="J68" s="39" t="n">
        <v>2003</v>
      </c>
      <c r="K68" s="39" t="n">
        <v>2092747601</v>
      </c>
      <c r="L68" s="40"/>
      <c r="M68" s="40"/>
      <c r="N68" s="39" t="s">
        <v>216</v>
      </c>
      <c r="O68" s="39" t="s">
        <v>27</v>
      </c>
      <c r="P68" s="40"/>
      <c r="Q68" s="38"/>
      <c r="R68" s="42" t="s">
        <v>27</v>
      </c>
      <c r="S68" s="42"/>
      <c r="T68" s="42"/>
      <c r="U68" s="42"/>
      <c r="V68" s="42"/>
    </row>
    <row r="69" customFormat="false" ht="50.7" hidden="false" customHeight="false" outlineLevel="0" collapsed="false">
      <c r="A69" s="37" t="n">
        <f aca="false">A68+1</f>
        <v>65</v>
      </c>
      <c r="B69" s="43" t="s">
        <v>217</v>
      </c>
      <c r="C69" s="39" t="n">
        <v>3</v>
      </c>
      <c r="D69" s="38" t="s">
        <v>210</v>
      </c>
      <c r="E69" s="38" t="s">
        <v>211</v>
      </c>
      <c r="F69" s="40"/>
      <c r="G69" s="39" t="s">
        <v>215</v>
      </c>
      <c r="H69" s="40"/>
      <c r="I69" s="41" t="s">
        <v>218</v>
      </c>
      <c r="J69" s="39"/>
      <c r="K69" s="39" t="n">
        <v>501634</v>
      </c>
      <c r="L69" s="40"/>
      <c r="M69" s="40"/>
      <c r="N69" s="39" t="s">
        <v>219</v>
      </c>
      <c r="O69" s="39" t="s">
        <v>27</v>
      </c>
      <c r="P69" s="40"/>
      <c r="Q69" s="38"/>
      <c r="R69" s="42"/>
      <c r="S69" s="42"/>
      <c r="T69" s="42"/>
      <c r="U69" s="42"/>
      <c r="V69" s="42"/>
    </row>
    <row r="70" customFormat="false" ht="50.7" hidden="false" customHeight="false" outlineLevel="0" collapsed="false">
      <c r="A70" s="37" t="n">
        <f aca="false">A69+1</f>
        <v>66</v>
      </c>
      <c r="B70" s="38" t="s">
        <v>220</v>
      </c>
      <c r="C70" s="39" t="n">
        <v>2</v>
      </c>
      <c r="D70" s="38" t="s">
        <v>210</v>
      </c>
      <c r="E70" s="38" t="s">
        <v>211</v>
      </c>
      <c r="F70" s="40"/>
      <c r="G70" s="39" t="s">
        <v>212</v>
      </c>
      <c r="H70" s="40"/>
      <c r="I70" s="41"/>
      <c r="J70" s="39"/>
      <c r="K70" s="39" t="s">
        <v>31</v>
      </c>
      <c r="L70" s="40"/>
      <c r="M70" s="40"/>
      <c r="N70" s="39" t="s">
        <v>31</v>
      </c>
      <c r="O70" s="39" t="s">
        <v>28</v>
      </c>
      <c r="P70" s="40"/>
      <c r="Q70" s="38"/>
      <c r="R70" s="42"/>
      <c r="S70" s="42"/>
      <c r="T70" s="42"/>
      <c r="U70" s="42"/>
      <c r="V70" s="42"/>
    </row>
    <row r="71" customFormat="false" ht="50.7" hidden="false" customHeight="false" outlineLevel="0" collapsed="false">
      <c r="A71" s="37" t="n">
        <f aca="false">A70+1</f>
        <v>67</v>
      </c>
      <c r="B71" s="38" t="s">
        <v>221</v>
      </c>
      <c r="C71" s="39" t="n">
        <v>3.5</v>
      </c>
      <c r="D71" s="38" t="s">
        <v>210</v>
      </c>
      <c r="E71" s="38" t="s">
        <v>211</v>
      </c>
      <c r="F71" s="40"/>
      <c r="G71" s="39" t="s">
        <v>215</v>
      </c>
      <c r="H71" s="40"/>
      <c r="I71" s="41"/>
      <c r="J71" s="39" t="n">
        <v>1916</v>
      </c>
      <c r="K71" s="39" t="n">
        <v>201721</v>
      </c>
      <c r="L71" s="40"/>
      <c r="M71" s="40"/>
      <c r="N71" s="39" t="s">
        <v>57</v>
      </c>
      <c r="O71" s="39" t="s">
        <v>27</v>
      </c>
      <c r="P71" s="40"/>
      <c r="Q71" s="38"/>
      <c r="R71" s="42"/>
      <c r="S71" s="42"/>
      <c r="T71" s="42"/>
      <c r="U71" s="42"/>
      <c r="V71" s="42"/>
    </row>
    <row r="72" customFormat="false" ht="50.7" hidden="false" customHeight="false" outlineLevel="0" collapsed="false">
      <c r="A72" s="37" t="n">
        <f aca="false">A71+1</f>
        <v>68</v>
      </c>
      <c r="B72" s="38" t="s">
        <v>222</v>
      </c>
      <c r="C72" s="39" t="n">
        <v>3</v>
      </c>
      <c r="D72" s="38" t="s">
        <v>210</v>
      </c>
      <c r="E72" s="38" t="s">
        <v>211</v>
      </c>
      <c r="F72" s="40"/>
      <c r="G72" s="39" t="s">
        <v>215</v>
      </c>
      <c r="H72" s="40"/>
      <c r="I72" s="41" t="s">
        <v>218</v>
      </c>
      <c r="J72" s="39"/>
      <c r="K72" s="39" t="n">
        <v>542595</v>
      </c>
      <c r="L72" s="40"/>
      <c r="M72" s="40"/>
      <c r="N72" s="39" t="s">
        <v>219</v>
      </c>
      <c r="O72" s="39" t="s">
        <v>27</v>
      </c>
      <c r="P72" s="40"/>
      <c r="Q72" s="38"/>
      <c r="R72" s="42"/>
      <c r="S72" s="42"/>
      <c r="T72" s="42"/>
      <c r="U72" s="42"/>
      <c r="V72" s="42"/>
    </row>
    <row r="73" customFormat="false" ht="50.7" hidden="false" customHeight="false" outlineLevel="0" collapsed="false">
      <c r="A73" s="37" t="n">
        <f aca="false">A72+1</f>
        <v>69</v>
      </c>
      <c r="B73" s="38" t="s">
        <v>223</v>
      </c>
      <c r="C73" s="39" t="n">
        <v>4</v>
      </c>
      <c r="D73" s="38" t="s">
        <v>210</v>
      </c>
      <c r="E73" s="38" t="s">
        <v>211</v>
      </c>
      <c r="F73" s="40"/>
      <c r="G73" s="39" t="s">
        <v>215</v>
      </c>
      <c r="H73" s="40"/>
      <c r="I73" s="41"/>
      <c r="J73" s="39"/>
      <c r="K73" s="39" t="s">
        <v>31</v>
      </c>
      <c r="L73" s="40"/>
      <c r="M73" s="40"/>
      <c r="N73" s="39" t="s">
        <v>31</v>
      </c>
      <c r="O73" s="39" t="s">
        <v>28</v>
      </c>
      <c r="P73" s="40"/>
      <c r="Q73" s="38"/>
      <c r="R73" s="42"/>
      <c r="S73" s="42"/>
      <c r="T73" s="42"/>
      <c r="U73" s="42"/>
      <c r="V73" s="42"/>
    </row>
    <row r="74" customFormat="false" ht="50.7" hidden="false" customHeight="false" outlineLevel="0" collapsed="false">
      <c r="A74" s="37" t="n">
        <f aca="false">A73+1</f>
        <v>70</v>
      </c>
      <c r="B74" s="38" t="s">
        <v>224</v>
      </c>
      <c r="C74" s="39" t="n">
        <v>4</v>
      </c>
      <c r="D74" s="38" t="s">
        <v>210</v>
      </c>
      <c r="E74" s="38" t="s">
        <v>211</v>
      </c>
      <c r="F74" s="40"/>
      <c r="G74" s="39" t="s">
        <v>215</v>
      </c>
      <c r="H74" s="40"/>
      <c r="I74" s="41" t="s">
        <v>218</v>
      </c>
      <c r="J74" s="39"/>
      <c r="K74" s="39" t="n">
        <v>500763</v>
      </c>
      <c r="L74" s="40"/>
      <c r="M74" s="40"/>
      <c r="N74" s="39" t="s">
        <v>31</v>
      </c>
      <c r="O74" s="39" t="s">
        <v>34</v>
      </c>
      <c r="P74" s="40"/>
      <c r="Q74" s="38"/>
      <c r="R74" s="42"/>
      <c r="S74" s="42"/>
      <c r="T74" s="42"/>
      <c r="U74" s="42"/>
      <c r="V74" s="42"/>
    </row>
    <row r="75" customFormat="false" ht="75.35" hidden="false" customHeight="false" outlineLevel="0" collapsed="false">
      <c r="A75" s="37" t="n">
        <v>71</v>
      </c>
      <c r="B75" s="38" t="s">
        <v>225</v>
      </c>
      <c r="C75" s="39"/>
      <c r="D75" s="38" t="s">
        <v>226</v>
      </c>
      <c r="E75" s="38" t="s">
        <v>227</v>
      </c>
      <c r="F75" s="40"/>
      <c r="G75" s="39" t="s">
        <v>228</v>
      </c>
      <c r="H75" s="40"/>
      <c r="I75" s="41" t="s">
        <v>218</v>
      </c>
      <c r="J75" s="39"/>
      <c r="K75" s="39" t="s">
        <v>31</v>
      </c>
      <c r="L75" s="40"/>
      <c r="M75" s="40"/>
      <c r="N75" s="39" t="s">
        <v>31</v>
      </c>
      <c r="O75" s="39" t="s">
        <v>28</v>
      </c>
      <c r="P75" s="40"/>
      <c r="Q75" s="38"/>
      <c r="R75" s="42"/>
      <c r="S75" s="42"/>
      <c r="T75" s="42"/>
      <c r="U75" s="42"/>
      <c r="V75" s="42"/>
    </row>
    <row r="76" customFormat="false" ht="50.7" hidden="false" customHeight="false" outlineLevel="0" collapsed="false">
      <c r="A76" s="37" t="n">
        <f aca="false">A75+1</f>
        <v>72</v>
      </c>
      <c r="B76" s="38" t="s">
        <v>229</v>
      </c>
      <c r="C76" s="39" t="n">
        <v>4</v>
      </c>
      <c r="D76" s="38" t="s">
        <v>210</v>
      </c>
      <c r="E76" s="38" t="s">
        <v>211</v>
      </c>
      <c r="F76" s="40"/>
      <c r="G76" s="39" t="s">
        <v>215</v>
      </c>
      <c r="H76" s="40"/>
      <c r="I76" s="41"/>
      <c r="J76" s="39" t="n">
        <v>1916</v>
      </c>
      <c r="K76" s="39" t="n">
        <v>201721</v>
      </c>
      <c r="L76" s="40"/>
      <c r="M76" s="40"/>
      <c r="N76" s="39" t="s">
        <v>57</v>
      </c>
      <c r="O76" s="39" t="s">
        <v>27</v>
      </c>
      <c r="P76" s="40"/>
      <c r="Q76" s="38"/>
      <c r="R76" s="42"/>
      <c r="S76" s="42"/>
      <c r="T76" s="42"/>
      <c r="U76" s="42"/>
      <c r="V76" s="42"/>
    </row>
    <row r="77" customFormat="false" ht="50.7" hidden="false" customHeight="false" outlineLevel="0" collapsed="false">
      <c r="A77" s="37" t="n">
        <f aca="false">A76+1</f>
        <v>73</v>
      </c>
      <c r="B77" s="38" t="s">
        <v>230</v>
      </c>
      <c r="C77" s="39" t="n">
        <v>3</v>
      </c>
      <c r="D77" s="38" t="s">
        <v>210</v>
      </c>
      <c r="E77" s="38" t="s">
        <v>211</v>
      </c>
      <c r="F77" s="40"/>
      <c r="G77" s="39" t="s">
        <v>231</v>
      </c>
      <c r="H77" s="40"/>
      <c r="I77" s="41"/>
      <c r="J77" s="39"/>
      <c r="K77" s="39" t="s">
        <v>31</v>
      </c>
      <c r="L77" s="40"/>
      <c r="M77" s="40"/>
      <c r="N77" s="39" t="s">
        <v>31</v>
      </c>
      <c r="O77" s="39" t="s">
        <v>28</v>
      </c>
      <c r="P77" s="40"/>
      <c r="Q77" s="38"/>
      <c r="R77" s="42"/>
      <c r="S77" s="42"/>
      <c r="T77" s="42"/>
      <c r="U77" s="42"/>
      <c r="V77" s="42"/>
    </row>
    <row r="78" customFormat="false" ht="50.7" hidden="false" customHeight="false" outlineLevel="0" collapsed="false">
      <c r="A78" s="37" t="n">
        <f aca="false">A77+1</f>
        <v>74</v>
      </c>
      <c r="B78" s="38" t="s">
        <v>232</v>
      </c>
      <c r="C78" s="39" t="n">
        <v>3</v>
      </c>
      <c r="D78" s="38" t="s">
        <v>210</v>
      </c>
      <c r="E78" s="38" t="s">
        <v>211</v>
      </c>
      <c r="F78" s="40"/>
      <c r="G78" s="39" t="s">
        <v>231</v>
      </c>
      <c r="H78" s="40"/>
      <c r="I78" s="41"/>
      <c r="J78" s="39" t="n">
        <v>1916</v>
      </c>
      <c r="K78" s="39" t="n">
        <v>201721</v>
      </c>
      <c r="L78" s="40"/>
      <c r="M78" s="40"/>
      <c r="N78" s="39" t="s">
        <v>57</v>
      </c>
      <c r="O78" s="39" t="s">
        <v>27</v>
      </c>
      <c r="P78" s="40"/>
      <c r="Q78" s="38"/>
      <c r="R78" s="42"/>
      <c r="S78" s="42"/>
      <c r="T78" s="42"/>
      <c r="U78" s="42"/>
      <c r="V78" s="42"/>
    </row>
    <row r="79" customFormat="false" ht="50.7" hidden="false" customHeight="false" outlineLevel="0" collapsed="false">
      <c r="A79" s="37" t="n">
        <f aca="false">A78+1</f>
        <v>75</v>
      </c>
      <c r="B79" s="38" t="s">
        <v>233</v>
      </c>
      <c r="C79" s="39" t="n">
        <v>3</v>
      </c>
      <c r="D79" s="38" t="s">
        <v>210</v>
      </c>
      <c r="E79" s="38" t="s">
        <v>234</v>
      </c>
      <c r="F79" s="40"/>
      <c r="G79" s="39" t="s">
        <v>231</v>
      </c>
      <c r="H79" s="40"/>
      <c r="I79" s="41"/>
      <c r="J79" s="39"/>
      <c r="K79" s="39" t="s">
        <v>31</v>
      </c>
      <c r="L79" s="40"/>
      <c r="M79" s="40"/>
      <c r="N79" s="39" t="s">
        <v>31</v>
      </c>
      <c r="O79" s="39" t="s">
        <v>28</v>
      </c>
      <c r="P79" s="40"/>
      <c r="Q79" s="38"/>
      <c r="R79" s="42"/>
      <c r="S79" s="42"/>
      <c r="T79" s="42"/>
      <c r="U79" s="42"/>
      <c r="V79" s="42"/>
    </row>
    <row r="80" customFormat="false" ht="198.5" hidden="false" customHeight="false" outlineLevel="0" collapsed="false">
      <c r="A80" s="37" t="n">
        <f aca="false">A79+1</f>
        <v>76</v>
      </c>
      <c r="B80" s="38" t="s">
        <v>235</v>
      </c>
      <c r="C80" s="39" t="n">
        <v>10</v>
      </c>
      <c r="D80" s="38" t="s">
        <v>236</v>
      </c>
      <c r="E80" s="38" t="s">
        <v>237</v>
      </c>
      <c r="F80" s="40"/>
      <c r="G80" s="39" t="s">
        <v>238</v>
      </c>
      <c r="H80" s="40"/>
      <c r="I80" s="41"/>
      <c r="J80" s="39"/>
      <c r="K80" s="39" t="n">
        <v>472452</v>
      </c>
      <c r="L80" s="40"/>
      <c r="M80" s="40"/>
      <c r="N80" s="39" t="s">
        <v>239</v>
      </c>
      <c r="O80" s="39" t="s">
        <v>28</v>
      </c>
      <c r="P80" s="40"/>
      <c r="Q80" s="38" t="s">
        <v>240</v>
      </c>
      <c r="R80" s="42"/>
      <c r="S80" s="42"/>
      <c r="T80" s="42"/>
      <c r="U80" s="42"/>
      <c r="V80" s="42"/>
    </row>
    <row r="81" customFormat="false" ht="50.7" hidden="false" customHeight="false" outlineLevel="0" collapsed="false">
      <c r="A81" s="37" t="n">
        <f aca="false">A80+1</f>
        <v>77</v>
      </c>
      <c r="B81" s="38" t="s">
        <v>158</v>
      </c>
      <c r="C81" s="39" t="n">
        <v>2</v>
      </c>
      <c r="D81" s="38" t="s">
        <v>210</v>
      </c>
      <c r="E81" s="38" t="s">
        <v>211</v>
      </c>
      <c r="F81" s="40"/>
      <c r="G81" s="39" t="s">
        <v>231</v>
      </c>
      <c r="H81" s="40"/>
      <c r="I81" s="41"/>
      <c r="J81" s="39"/>
      <c r="K81" s="39" t="s">
        <v>31</v>
      </c>
      <c r="L81" s="40"/>
      <c r="M81" s="40"/>
      <c r="N81" s="39" t="s">
        <v>31</v>
      </c>
      <c r="O81" s="39" t="s">
        <v>28</v>
      </c>
      <c r="P81" s="40"/>
      <c r="Q81" s="38"/>
      <c r="R81" s="42"/>
      <c r="S81" s="42"/>
      <c r="T81" s="42"/>
      <c r="U81" s="42"/>
      <c r="V81" s="42"/>
    </row>
    <row r="82" customFormat="false" ht="50.7" hidden="false" customHeight="false" outlineLevel="0" collapsed="false">
      <c r="A82" s="37" t="n">
        <f aca="false">A81+1</f>
        <v>78</v>
      </c>
      <c r="B82" s="38" t="s">
        <v>241</v>
      </c>
      <c r="C82" s="39" t="n">
        <v>3</v>
      </c>
      <c r="D82" s="38" t="s">
        <v>210</v>
      </c>
      <c r="E82" s="38" t="s">
        <v>211</v>
      </c>
      <c r="F82" s="40"/>
      <c r="G82" s="39" t="s">
        <v>231</v>
      </c>
      <c r="H82" s="40"/>
      <c r="I82" s="41"/>
      <c r="J82" s="39" t="n">
        <v>1916</v>
      </c>
      <c r="K82" s="39" t="n">
        <v>201721</v>
      </c>
      <c r="L82" s="40"/>
      <c r="M82" s="40"/>
      <c r="N82" s="39" t="s">
        <v>57</v>
      </c>
      <c r="O82" s="39" t="s">
        <v>27</v>
      </c>
      <c r="P82" s="40"/>
      <c r="Q82" s="38"/>
      <c r="R82" s="42"/>
      <c r="S82" s="42"/>
      <c r="T82" s="42"/>
      <c r="U82" s="42"/>
      <c r="V82" s="42"/>
    </row>
    <row r="83" customFormat="false" ht="75.35" hidden="false" customHeight="false" outlineLevel="0" collapsed="false">
      <c r="A83" s="37" t="n">
        <v>79</v>
      </c>
      <c r="B83" s="38" t="s">
        <v>242</v>
      </c>
      <c r="C83" s="39" t="n">
        <v>6</v>
      </c>
      <c r="D83" s="38" t="s">
        <v>243</v>
      </c>
      <c r="E83" s="38" t="s">
        <v>244</v>
      </c>
      <c r="F83" s="40"/>
      <c r="G83" s="39" t="s">
        <v>215</v>
      </c>
      <c r="H83" s="40"/>
      <c r="I83" s="41"/>
      <c r="J83" s="39"/>
      <c r="K83" s="39"/>
      <c r="L83" s="40"/>
      <c r="M83" s="40"/>
      <c r="N83" s="39"/>
      <c r="O83" s="39" t="s">
        <v>28</v>
      </c>
      <c r="P83" s="40"/>
      <c r="Q83" s="38" t="s">
        <v>245</v>
      </c>
      <c r="R83" s="42"/>
      <c r="S83" s="42"/>
      <c r="T83" s="42"/>
      <c r="U83" s="42"/>
      <c r="V83" s="42"/>
    </row>
    <row r="84" customFormat="false" ht="99.95" hidden="false" customHeight="false" outlineLevel="0" collapsed="false">
      <c r="A84" s="37" t="n">
        <f aca="false">A83+1</f>
        <v>80</v>
      </c>
      <c r="B84" s="38" t="s">
        <v>246</v>
      </c>
      <c r="C84" s="39" t="n">
        <v>82</v>
      </c>
      <c r="D84" s="38" t="s">
        <v>243</v>
      </c>
      <c r="E84" s="38" t="s">
        <v>247</v>
      </c>
      <c r="F84" s="40"/>
      <c r="G84" s="39" t="s">
        <v>248</v>
      </c>
      <c r="H84" s="40"/>
      <c r="I84" s="41" t="s">
        <v>218</v>
      </c>
      <c r="J84" s="39" t="n">
        <v>1932</v>
      </c>
      <c r="K84" s="39" t="n">
        <v>385606</v>
      </c>
      <c r="L84" s="40"/>
      <c r="M84" s="40"/>
      <c r="N84" s="39" t="s">
        <v>31</v>
      </c>
      <c r="O84" s="39" t="s">
        <v>34</v>
      </c>
      <c r="P84" s="40"/>
      <c r="Q84" s="38"/>
      <c r="R84" s="42"/>
      <c r="S84" s="42"/>
      <c r="T84" s="42"/>
      <c r="U84" s="42"/>
      <c r="V84" s="42"/>
    </row>
    <row r="85" customFormat="false" ht="124.6" hidden="false" customHeight="false" outlineLevel="0" collapsed="false">
      <c r="A85" s="37" t="n">
        <f aca="false">A84+1</f>
        <v>81</v>
      </c>
      <c r="B85" s="38" t="s">
        <v>249</v>
      </c>
      <c r="C85" s="39" t="n">
        <v>3</v>
      </c>
      <c r="D85" s="38" t="s">
        <v>226</v>
      </c>
      <c r="E85" s="38" t="s">
        <v>250</v>
      </c>
      <c r="F85" s="40"/>
      <c r="G85" s="39" t="s">
        <v>251</v>
      </c>
      <c r="H85" s="40"/>
      <c r="I85" s="41"/>
      <c r="J85" s="39"/>
      <c r="K85" s="39" t="s">
        <v>31</v>
      </c>
      <c r="L85" s="40"/>
      <c r="M85" s="40"/>
      <c r="N85" s="39" t="s">
        <v>31</v>
      </c>
      <c r="O85" s="39" t="s">
        <v>28</v>
      </c>
      <c r="P85" s="40"/>
      <c r="Q85" s="38" t="s">
        <v>252</v>
      </c>
      <c r="R85" s="42"/>
      <c r="S85" s="42"/>
      <c r="T85" s="42"/>
      <c r="U85" s="42"/>
      <c r="V85" s="42"/>
    </row>
    <row r="86" customFormat="false" ht="75.35" hidden="false" customHeight="false" outlineLevel="0" collapsed="false">
      <c r="A86" s="37" t="n">
        <f aca="false">A85+1</f>
        <v>82</v>
      </c>
      <c r="B86" s="38" t="s">
        <v>253</v>
      </c>
      <c r="C86" s="39" t="n">
        <v>46</v>
      </c>
      <c r="D86" s="38" t="s">
        <v>243</v>
      </c>
      <c r="E86" s="38" t="s">
        <v>254</v>
      </c>
      <c r="F86" s="40"/>
      <c r="G86" s="39" t="s">
        <v>255</v>
      </c>
      <c r="H86" s="40"/>
      <c r="I86" s="41" t="s">
        <v>218</v>
      </c>
      <c r="J86" s="39" t="n">
        <v>1936</v>
      </c>
      <c r="K86" s="39" t="n">
        <v>472453</v>
      </c>
      <c r="L86" s="40"/>
      <c r="M86" s="40"/>
      <c r="N86" s="39" t="s">
        <v>31</v>
      </c>
      <c r="O86" s="39" t="s">
        <v>34</v>
      </c>
      <c r="P86" s="40"/>
      <c r="Q86" s="38"/>
      <c r="R86" s="42"/>
      <c r="S86" s="42"/>
      <c r="T86" s="42"/>
      <c r="U86" s="42"/>
      <c r="V86" s="42"/>
    </row>
    <row r="87" customFormat="false" ht="75.35" hidden="false" customHeight="false" outlineLevel="0" collapsed="false">
      <c r="A87" s="37" t="n">
        <f aca="false">A86+1</f>
        <v>83</v>
      </c>
      <c r="B87" s="43" t="s">
        <v>256</v>
      </c>
      <c r="C87" s="39" t="n">
        <v>35</v>
      </c>
      <c r="D87" s="38" t="s">
        <v>243</v>
      </c>
      <c r="E87" s="38" t="s">
        <v>257</v>
      </c>
      <c r="F87" s="40"/>
      <c r="G87" s="39" t="s">
        <v>258</v>
      </c>
      <c r="H87" s="40"/>
      <c r="I87" s="41" t="s">
        <v>218</v>
      </c>
      <c r="J87" s="39" t="n">
        <v>1927</v>
      </c>
      <c r="K87" s="39" t="n">
        <v>318775</v>
      </c>
      <c r="L87" s="40"/>
      <c r="M87" s="40"/>
      <c r="N87" s="39" t="s">
        <v>31</v>
      </c>
      <c r="O87" s="39" t="s">
        <v>34</v>
      </c>
      <c r="P87" s="40"/>
      <c r="Q87" s="38"/>
      <c r="R87" s="42"/>
      <c r="S87" s="42"/>
      <c r="T87" s="42"/>
      <c r="U87" s="42"/>
      <c r="V87" s="42"/>
    </row>
    <row r="88" customFormat="false" ht="50.7" hidden="false" customHeight="false" outlineLevel="0" collapsed="false">
      <c r="A88" s="37" t="n">
        <v>84</v>
      </c>
      <c r="B88" s="43" t="s">
        <v>259</v>
      </c>
      <c r="C88" s="39" t="n">
        <v>25</v>
      </c>
      <c r="D88" s="38"/>
      <c r="E88" s="38" t="s">
        <v>211</v>
      </c>
      <c r="F88" s="40"/>
      <c r="G88" s="39" t="s">
        <v>260</v>
      </c>
      <c r="H88" s="40"/>
      <c r="I88" s="41" t="s">
        <v>218</v>
      </c>
      <c r="J88" s="39" t="n">
        <v>1928</v>
      </c>
      <c r="K88" s="39" t="n">
        <v>337534</v>
      </c>
      <c r="L88" s="40"/>
      <c r="M88" s="40"/>
      <c r="N88" s="39" t="s">
        <v>31</v>
      </c>
      <c r="O88" s="39" t="s">
        <v>34</v>
      </c>
      <c r="P88" s="40"/>
      <c r="Q88" s="38"/>
      <c r="R88" s="42"/>
      <c r="S88" s="42"/>
      <c r="T88" s="42"/>
      <c r="U88" s="42"/>
      <c r="V88" s="42"/>
    </row>
    <row r="89" customFormat="false" ht="26.1" hidden="false" customHeight="false" outlineLevel="0" collapsed="false">
      <c r="A89" s="37" t="n">
        <f aca="false">A88+1</f>
        <v>85</v>
      </c>
      <c r="B89" s="38" t="s">
        <v>261</v>
      </c>
      <c r="C89" s="39" t="n">
        <v>3</v>
      </c>
      <c r="D89" s="38" t="s">
        <v>210</v>
      </c>
      <c r="E89" s="38" t="s">
        <v>237</v>
      </c>
      <c r="F89" s="40"/>
      <c r="G89" s="39" t="s">
        <v>231</v>
      </c>
      <c r="H89" s="40"/>
      <c r="I89" s="41"/>
      <c r="J89" s="39" t="n">
        <v>1916</v>
      </c>
      <c r="K89" s="39" t="n">
        <v>201721</v>
      </c>
      <c r="L89" s="40"/>
      <c r="M89" s="40"/>
      <c r="N89" s="39" t="s">
        <v>57</v>
      </c>
      <c r="O89" s="39" t="s">
        <v>27</v>
      </c>
      <c r="P89" s="40"/>
      <c r="Q89" s="38"/>
      <c r="R89" s="42"/>
      <c r="S89" s="42"/>
      <c r="T89" s="42"/>
      <c r="U89" s="42"/>
      <c r="V89" s="42"/>
    </row>
    <row r="90" customFormat="false" ht="124.6" hidden="false" customHeight="false" outlineLevel="0" collapsed="false">
      <c r="A90" s="37" t="n">
        <v>86</v>
      </c>
      <c r="B90" s="38" t="s">
        <v>262</v>
      </c>
      <c r="C90" s="39" t="n">
        <v>1</v>
      </c>
      <c r="D90" s="38" t="s">
        <v>210</v>
      </c>
      <c r="E90" s="38" t="s">
        <v>211</v>
      </c>
      <c r="F90" s="40"/>
      <c r="G90" s="39" t="s">
        <v>212</v>
      </c>
      <c r="H90" s="40"/>
      <c r="I90" s="41"/>
      <c r="J90" s="39"/>
      <c r="K90" s="39" t="s">
        <v>31</v>
      </c>
      <c r="L90" s="40"/>
      <c r="M90" s="40"/>
      <c r="N90" s="39" t="s">
        <v>31</v>
      </c>
      <c r="O90" s="39" t="s">
        <v>28</v>
      </c>
      <c r="P90" s="40"/>
      <c r="Q90" s="38" t="s">
        <v>263</v>
      </c>
      <c r="R90" s="42"/>
      <c r="S90" s="42"/>
      <c r="T90" s="42"/>
      <c r="U90" s="42"/>
      <c r="V90" s="42"/>
    </row>
    <row r="91" customFormat="false" ht="75.35" hidden="false" customHeight="false" outlineLevel="0" collapsed="false">
      <c r="A91" s="37" t="n">
        <v>87</v>
      </c>
      <c r="B91" s="43" t="s">
        <v>264</v>
      </c>
      <c r="C91" s="39" t="n">
        <v>7</v>
      </c>
      <c r="D91" s="38" t="s">
        <v>210</v>
      </c>
      <c r="E91" s="38" t="s">
        <v>211</v>
      </c>
      <c r="F91" s="40"/>
      <c r="G91" s="39" t="s">
        <v>265</v>
      </c>
      <c r="H91" s="40"/>
      <c r="I91" s="41"/>
      <c r="J91" s="39" t="n">
        <v>1916</v>
      </c>
      <c r="K91" s="39" t="n">
        <v>201721</v>
      </c>
      <c r="L91" s="40"/>
      <c r="M91" s="40"/>
      <c r="N91" s="39" t="s">
        <v>57</v>
      </c>
      <c r="O91" s="39" t="s">
        <v>27</v>
      </c>
      <c r="P91" s="40"/>
      <c r="Q91" s="38" t="s">
        <v>213</v>
      </c>
      <c r="R91" s="42"/>
      <c r="S91" s="42"/>
      <c r="T91" s="42"/>
      <c r="U91" s="42"/>
      <c r="V91" s="42"/>
    </row>
    <row r="92" customFormat="false" ht="50.7" hidden="false" customHeight="false" outlineLevel="0" collapsed="false">
      <c r="A92" s="37" t="n">
        <f aca="false">A91+1</f>
        <v>88</v>
      </c>
      <c r="B92" s="43" t="s">
        <v>266</v>
      </c>
      <c r="C92" s="39" t="n">
        <v>2</v>
      </c>
      <c r="D92" s="38" t="s">
        <v>210</v>
      </c>
      <c r="E92" s="38" t="s">
        <v>211</v>
      </c>
      <c r="F92" s="40"/>
      <c r="G92" s="39" t="s">
        <v>212</v>
      </c>
      <c r="H92" s="40"/>
      <c r="I92" s="41"/>
      <c r="J92" s="39"/>
      <c r="K92" s="39"/>
      <c r="L92" s="40"/>
      <c r="M92" s="40"/>
      <c r="N92" s="39" t="s">
        <v>31</v>
      </c>
      <c r="O92" s="39" t="s">
        <v>28</v>
      </c>
      <c r="P92" s="40"/>
      <c r="Q92" s="38"/>
      <c r="R92" s="42"/>
      <c r="S92" s="42"/>
      <c r="T92" s="42"/>
      <c r="U92" s="42"/>
      <c r="V92" s="42"/>
    </row>
    <row r="93" customFormat="false" ht="149.25" hidden="false" customHeight="false" outlineLevel="0" collapsed="false">
      <c r="A93" s="44" t="n">
        <f aca="false">A92+1</f>
        <v>89</v>
      </c>
      <c r="B93" s="45" t="s">
        <v>261</v>
      </c>
      <c r="C93" s="46" t="n">
        <v>2</v>
      </c>
      <c r="D93" s="45" t="s">
        <v>210</v>
      </c>
      <c r="E93" s="38" t="s">
        <v>211</v>
      </c>
      <c r="F93" s="40"/>
      <c r="G93" s="47" t="s">
        <v>212</v>
      </c>
      <c r="H93" s="40"/>
      <c r="I93" s="48"/>
      <c r="J93" s="46"/>
      <c r="K93" s="46"/>
      <c r="L93" s="40"/>
      <c r="M93" s="40"/>
      <c r="N93" s="46" t="s">
        <v>31</v>
      </c>
      <c r="O93" s="46" t="s">
        <v>28</v>
      </c>
      <c r="P93" s="40"/>
      <c r="Q93" s="38" t="s">
        <v>267</v>
      </c>
      <c r="R93" s="42"/>
      <c r="S93" s="42"/>
      <c r="T93" s="42"/>
      <c r="U93" s="42"/>
      <c r="V93" s="42"/>
    </row>
    <row r="94" customFormat="false" ht="50.7" hidden="false" customHeight="false" outlineLevel="0" collapsed="false">
      <c r="A94" s="37" t="n">
        <f aca="false">A93+1</f>
        <v>90</v>
      </c>
      <c r="B94" s="38" t="s">
        <v>268</v>
      </c>
      <c r="C94" s="39" t="n">
        <v>3</v>
      </c>
      <c r="D94" s="38" t="s">
        <v>210</v>
      </c>
      <c r="E94" s="38" t="s">
        <v>211</v>
      </c>
      <c r="F94" s="40"/>
      <c r="G94" s="39" t="s">
        <v>231</v>
      </c>
      <c r="H94" s="40"/>
      <c r="I94" s="41"/>
      <c r="J94" s="39"/>
      <c r="K94" s="39"/>
      <c r="L94" s="40"/>
      <c r="M94" s="40"/>
      <c r="N94" s="39" t="s">
        <v>31</v>
      </c>
      <c r="O94" s="39" t="s">
        <v>28</v>
      </c>
      <c r="P94" s="40"/>
      <c r="Q94" s="38"/>
      <c r="R94" s="42"/>
      <c r="S94" s="42"/>
      <c r="T94" s="42"/>
      <c r="U94" s="42"/>
      <c r="V94" s="42"/>
    </row>
    <row r="95" customFormat="false" ht="75.35" hidden="false" customHeight="false" outlineLevel="0" collapsed="false">
      <c r="A95" s="37" t="n">
        <v>91</v>
      </c>
      <c r="B95" s="49" t="s">
        <v>269</v>
      </c>
      <c r="C95" s="39" t="n">
        <v>3</v>
      </c>
      <c r="D95" s="38" t="s">
        <v>226</v>
      </c>
      <c r="E95" s="49" t="s">
        <v>270</v>
      </c>
      <c r="F95" s="40"/>
      <c r="G95" s="39" t="s">
        <v>215</v>
      </c>
      <c r="H95" s="40"/>
      <c r="I95" s="41" t="s">
        <v>218</v>
      </c>
      <c r="J95" s="39"/>
      <c r="K95" s="39"/>
      <c r="L95" s="40"/>
      <c r="M95" s="40"/>
      <c r="N95" s="39"/>
      <c r="O95" s="46" t="s">
        <v>28</v>
      </c>
      <c r="P95" s="40"/>
      <c r="Q95" s="49"/>
      <c r="R95" s="42"/>
      <c r="S95" s="42"/>
      <c r="T95" s="42"/>
      <c r="U95" s="42"/>
      <c r="V95" s="42"/>
    </row>
    <row r="96" customFormat="false" ht="22.05" hidden="false" customHeight="false" outlineLevel="0" collapsed="false">
      <c r="A96" s="37" t="n">
        <f aca="false">A95+1</f>
        <v>92</v>
      </c>
      <c r="B96" s="49"/>
      <c r="C96" s="49"/>
      <c r="D96" s="49"/>
      <c r="E96" s="49"/>
      <c r="F96" s="40"/>
      <c r="G96" s="49"/>
      <c r="H96" s="40"/>
      <c r="I96" s="49"/>
      <c r="J96" s="49"/>
      <c r="K96" s="49"/>
      <c r="L96" s="40"/>
      <c r="M96" s="40"/>
      <c r="N96" s="49"/>
      <c r="O96" s="49"/>
      <c r="P96" s="40"/>
      <c r="Q96" s="49"/>
      <c r="R96" s="42"/>
      <c r="S96" s="42"/>
      <c r="T96" s="42"/>
      <c r="U96" s="42"/>
      <c r="V96" s="42"/>
    </row>
    <row r="97" customFormat="false" ht="22.05" hidden="false" customHeight="false" outlineLevel="0" collapsed="false">
      <c r="A97" s="37" t="n">
        <f aca="false">A96+1</f>
        <v>93</v>
      </c>
      <c r="B97" s="49"/>
      <c r="C97" s="49"/>
      <c r="D97" s="49"/>
      <c r="E97" s="49"/>
      <c r="F97" s="40"/>
      <c r="G97" s="49"/>
      <c r="H97" s="40"/>
      <c r="I97" s="49"/>
      <c r="J97" s="49"/>
      <c r="K97" s="49"/>
      <c r="L97" s="40"/>
      <c r="M97" s="40"/>
      <c r="N97" s="49"/>
      <c r="O97" s="49"/>
      <c r="P97" s="40"/>
      <c r="Q97" s="49"/>
      <c r="R97" s="42"/>
      <c r="S97" s="42"/>
      <c r="T97" s="42"/>
      <c r="U97" s="42"/>
      <c r="V97" s="42"/>
    </row>
    <row r="1048576" customFormat="false" ht="12.8" hidden="false" customHeight="false" outlineLevel="0" collapsed="false"/>
  </sheetData>
  <mergeCells count="3">
    <mergeCell ref="J1:K1"/>
    <mergeCell ref="N34:N35"/>
    <mergeCell ref="N36:N37"/>
  </mergeCells>
  <printOptions headings="false" gridLines="true" gridLinesSet="true" horizontalCentered="true" verticalCentered="true"/>
  <pageMargins left="0.55" right="0.55" top="0.820138888888889" bottom="0.729861111111111" header="0.3" footer="0.3"/>
  <pageSetup paperSize="9" scale="59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&amp;L&amp;14&amp;F&amp;C&amp;28OEuvres de Georges TACONET
(Toutes les mélodies)&amp;R&amp;16&amp;D</oddHeader>
    <oddFooter>&amp;LColonne dispon :
E = édition
G = gravure
M = manuscrit seulement&amp;R&amp;14Page &amp;P/3</oddFooter>
  </headerFooter>
  <rowBreaks count="1" manualBreakCount="1">
    <brk id="3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1999-10-27T09:28:28Z</dcterms:created>
  <dc:creator>Unknown User</dc:creator>
  <dc:description/>
  <dc:language>fr-FR</dc:language>
  <cp:lastModifiedBy/>
  <cp:lastPrinted>2026-02-23T17:53:47Z</cp:lastPrinted>
  <dcterms:modified xsi:type="dcterms:W3CDTF">2026-03-04T17:02:34Z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